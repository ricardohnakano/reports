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1800" yWindow="315" windowWidth="21600" windowHeight="9435" tabRatio="835" activeTab="5"/>
  </bookViews>
  <sheets>
    <sheet name="Main" sheetId="17" r:id="rId1"/>
    <sheet name="Template" sheetId="15" r:id="rId2"/>
    <sheet name="data" sheetId="16" r:id="rId3"/>
    <sheet name="Report" sheetId="2" r:id="rId4"/>
    <sheet name="Rank" sheetId="12" r:id="rId5"/>
    <sheet name="Report (Final)" sheetId="3" r:id="rId6"/>
  </sheets>
  <definedNames>
    <definedName name="_xlnm.Print_Area" localSheetId="0">Main!$A:$BF</definedName>
    <definedName name="D_\home\ricardo\Tripda\Modelo_DW\tripda_data_warehouse\report_queries\reports\report_generator.csv" localSheetId="2">data!$A$1:$R$49</definedName>
    <definedName name="report_generator" localSheetId="2">data!$A$1:$R$49</definedName>
    <definedName name="report_generator_1" localSheetId="2">data!$A$1:$R$61</definedName>
    <definedName name="report_generator_10" localSheetId="2">data!$A$1:$R$49</definedName>
    <definedName name="report_generator_11" localSheetId="2">data!$A$1:$R$49</definedName>
    <definedName name="report_generator_12" localSheetId="2">data!$A$1:$R$49</definedName>
    <definedName name="report_generator_13" localSheetId="2">data!$A$1:$R$49</definedName>
    <definedName name="report_generator_14" localSheetId="2">data!$A$1:$R$49</definedName>
    <definedName name="report_generator_15" localSheetId="2">data!$A$1:$R$49</definedName>
    <definedName name="report_generator_16" localSheetId="2">data!$A$1:$R$49</definedName>
    <definedName name="report_generator_17" localSheetId="2">data!$A$1:$R$49</definedName>
    <definedName name="report_generator_18" localSheetId="2">data!$A$1:$R$49</definedName>
    <definedName name="report_generator_19" localSheetId="2">data!$A$1:$R$49</definedName>
    <definedName name="report_generator_2" localSheetId="2">data!$A$1:$R$61</definedName>
    <definedName name="report_generator_20" localSheetId="2">data!$A$1:$R$49</definedName>
    <definedName name="report_generator_21" localSheetId="2">data!$A$1:$R$49</definedName>
    <definedName name="report_generator_22" localSheetId="2">data!$A$1:$R$49</definedName>
    <definedName name="report_generator_23" localSheetId="2">data!$A$1:$R$49</definedName>
    <definedName name="report_generator_24" localSheetId="2">data!$A$1:$R$49</definedName>
    <definedName name="report_generator_25" localSheetId="2">data!$A$1:$R$49</definedName>
    <definedName name="report_generator_26" localSheetId="2">data!$A$1:$R$49</definedName>
    <definedName name="report_generator_27" localSheetId="2">data!$A$1:$R$49</definedName>
    <definedName name="report_generator_28" localSheetId="2">data!$A$1:$R$49</definedName>
    <definedName name="report_generator_29" localSheetId="2">data!$A$1:$R$49</definedName>
    <definedName name="report_generator_3" localSheetId="2">data!$A$1:$R$61</definedName>
    <definedName name="report_generator_30" localSheetId="2">data!$A$1:$R$49</definedName>
    <definedName name="report_generator_31" localSheetId="2">data!$A$1:$R$49</definedName>
    <definedName name="report_generator_32" localSheetId="2">data!$A$1:$R$49</definedName>
    <definedName name="report_generator_33" localSheetId="2">data!$A$1:$R$49</definedName>
    <definedName name="report_generator_34" localSheetId="2">data!$A$1:$R$49</definedName>
    <definedName name="report_generator_35" localSheetId="2">data!$A$1:$R$49</definedName>
    <definedName name="report_generator_36" localSheetId="2">data!$A$1:$R$49</definedName>
    <definedName name="report_generator_37" localSheetId="2">data!$A$1:$R$49</definedName>
    <definedName name="report_generator_38" localSheetId="2">data!$A$1:$R$49</definedName>
    <definedName name="report_generator_39" localSheetId="2">data!$A$1:$R$49</definedName>
    <definedName name="report_generator_4" localSheetId="2">data!$A$1:$R$49</definedName>
    <definedName name="report_generator_40" localSheetId="2">data!$A$1:$R$49</definedName>
    <definedName name="report_generator_41" localSheetId="2">data!$A$1:$R$49</definedName>
    <definedName name="report_generator_42" localSheetId="2">data!$A$1:$R$49</definedName>
    <definedName name="report_generator_43" localSheetId="2">data!$A$1:$R$49</definedName>
    <definedName name="report_generator_44" localSheetId="2">data!$A$1:$R$49</definedName>
    <definedName name="report_generator_45" localSheetId="2">data!$A$1:$R$49</definedName>
    <definedName name="report_generator_46" localSheetId="2">data!$A$1:$R$49</definedName>
    <definedName name="report_generator_47" localSheetId="2">data!$A$1:$R$49</definedName>
    <definedName name="report_generator_48" localSheetId="2">data!$A$1:$R$49</definedName>
    <definedName name="report_generator_49" localSheetId="2">data!$A$1:$R$49</definedName>
    <definedName name="report_generator_5" localSheetId="2">data!$A$1:$R$49</definedName>
    <definedName name="report_generator_50" localSheetId="2">data!$A$1:$R$49</definedName>
    <definedName name="report_generator_51" localSheetId="2">data!$A$1:$R$49</definedName>
    <definedName name="report_generator_52" localSheetId="2">data!$A$1:$R$49</definedName>
    <definedName name="report_generator_53" localSheetId="2">data!$A$1:$R$49</definedName>
    <definedName name="report_generator_54" localSheetId="2">data!$A$1:$R$49</definedName>
    <definedName name="report_generator_55" localSheetId="2">data!$A$1:$R$49</definedName>
    <definedName name="report_generator_56" localSheetId="2">data!$A$1:$R$49</definedName>
    <definedName name="report_generator_57" localSheetId="2">data!$A$1:$R$49</definedName>
    <definedName name="report_generator_6" localSheetId="2">data!$A$1:$R$49</definedName>
    <definedName name="report_generator_7" localSheetId="2">data!$A$1:$R$49</definedName>
    <definedName name="report_generator_8" localSheetId="2">data!$A$1:$R$49</definedName>
    <definedName name="report_generator_9" localSheetId="2">data!$A$1:$R$49</definedName>
  </definedNames>
  <calcPr calcId="145621"/>
</workbook>
</file>

<file path=xl/calcChain.xml><?xml version="1.0" encoding="utf-8"?>
<calcChain xmlns="http://schemas.openxmlformats.org/spreadsheetml/2006/main">
  <c r="W2" i="17" l="1"/>
  <c r="W3" i="17" s="1"/>
  <c r="W7" i="17" l="1"/>
  <c r="W6" i="17"/>
  <c r="W5" i="17"/>
  <c r="W4" i="17"/>
  <c r="H7" i="12"/>
  <c r="N7" i="12" s="1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6" i="1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M14" i="12" l="1"/>
  <c r="M10" i="12"/>
  <c r="M9" i="12"/>
  <c r="M6" i="12"/>
  <c r="M7" i="12"/>
  <c r="M8" i="12"/>
  <c r="M11" i="12"/>
  <c r="M12" i="12"/>
  <c r="M13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N15" i="12"/>
  <c r="N14" i="12"/>
  <c r="N13" i="12"/>
  <c r="N12" i="12"/>
  <c r="N11" i="12"/>
  <c r="N10" i="12"/>
  <c r="N9" i="12"/>
  <c r="N8" i="12"/>
  <c r="N6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K23" i="12" l="1"/>
  <c r="K8" i="12"/>
  <c r="K39" i="12"/>
  <c r="K7" i="12"/>
  <c r="K18" i="12"/>
  <c r="K34" i="12"/>
  <c r="K13" i="12"/>
  <c r="K9" i="12"/>
  <c r="K29" i="12"/>
  <c r="K38" i="12"/>
  <c r="K33" i="12"/>
  <c r="K27" i="12"/>
  <c r="K22" i="12"/>
  <c r="K17" i="12"/>
  <c r="K11" i="12"/>
  <c r="K6" i="12"/>
  <c r="K37" i="12"/>
  <c r="K31" i="12"/>
  <c r="K26" i="12"/>
  <c r="K21" i="12"/>
  <c r="K15" i="12"/>
  <c r="K10" i="12"/>
  <c r="K35" i="12"/>
  <c r="K30" i="12"/>
  <c r="K25" i="12"/>
  <c r="K19" i="12"/>
  <c r="K14" i="12"/>
  <c r="K36" i="12"/>
  <c r="K32" i="12"/>
  <c r="K28" i="12"/>
  <c r="K24" i="12"/>
  <c r="K20" i="12"/>
  <c r="K16" i="12"/>
  <c r="K12" i="12"/>
  <c r="F9" i="12" l="1"/>
  <c r="D9" i="12" s="1"/>
  <c r="E9" i="12" s="1"/>
  <c r="F6" i="12"/>
  <c r="D6" i="12" s="1"/>
  <c r="E6" i="12" s="1"/>
  <c r="F10" i="12"/>
  <c r="D10" i="12" s="1"/>
  <c r="E10" i="12" s="1"/>
  <c r="F19" i="12"/>
  <c r="D19" i="12" s="1"/>
  <c r="E19" i="12" s="1"/>
  <c r="F11" i="12"/>
  <c r="D11" i="12" s="1"/>
  <c r="E11" i="12" s="1"/>
  <c r="F7" i="12"/>
  <c r="D7" i="12" s="1"/>
  <c r="E7" i="12" s="1"/>
  <c r="F8" i="12"/>
  <c r="D8" i="12" s="1"/>
  <c r="E8" i="12" s="1"/>
  <c r="F28" i="12"/>
  <c r="D28" i="12" s="1"/>
  <c r="E28" i="12" s="1"/>
  <c r="F18" i="12"/>
  <c r="D18" i="12" s="1"/>
  <c r="E18" i="12" s="1"/>
  <c r="F39" i="12"/>
  <c r="D39" i="12" s="1"/>
  <c r="E39" i="12" s="1"/>
  <c r="F16" i="12"/>
  <c r="D16" i="12" s="1"/>
  <c r="E16" i="12" s="1"/>
  <c r="F34" i="12"/>
  <c r="D34" i="12" s="1"/>
  <c r="E34" i="12" s="1"/>
  <c r="F21" i="12"/>
  <c r="D21" i="12" s="1"/>
  <c r="E21" i="12" s="1"/>
  <c r="F25" i="12"/>
  <c r="D25" i="12" s="1"/>
  <c r="E25" i="12" s="1"/>
  <c r="F33" i="12"/>
  <c r="D33" i="12" s="1"/>
  <c r="E33" i="12" s="1"/>
  <c r="F22" i="12"/>
  <c r="D22" i="12" s="1"/>
  <c r="E22" i="12" s="1"/>
  <c r="F38" i="12"/>
  <c r="D38" i="12" s="1"/>
  <c r="E38" i="12" s="1"/>
  <c r="F23" i="12"/>
  <c r="D23" i="12" s="1"/>
  <c r="E23" i="12" s="1"/>
  <c r="F36" i="12"/>
  <c r="D36" i="12" s="1"/>
  <c r="E36" i="12" s="1"/>
  <c r="F24" i="12"/>
  <c r="D24" i="12" s="1"/>
  <c r="E24" i="12" s="1"/>
  <c r="F13" i="12"/>
  <c r="D13" i="12" s="1"/>
  <c r="E13" i="12" s="1"/>
  <c r="F17" i="12"/>
  <c r="D17" i="12" s="1"/>
  <c r="E17" i="12" s="1"/>
  <c r="F26" i="12"/>
  <c r="D26" i="12" s="1"/>
  <c r="E26" i="12" s="1"/>
  <c r="F27" i="12"/>
  <c r="D27" i="12" s="1"/>
  <c r="E27" i="12" s="1"/>
  <c r="F12" i="12"/>
  <c r="D12" i="12" s="1"/>
  <c r="E12" i="12" s="1"/>
  <c r="F32" i="12"/>
  <c r="D32" i="12" s="1"/>
  <c r="E32" i="12" s="1"/>
  <c r="F29" i="12"/>
  <c r="D29" i="12" s="1"/>
  <c r="E29" i="12" s="1"/>
  <c r="F37" i="12"/>
  <c r="D37" i="12" s="1"/>
  <c r="E37" i="12" s="1"/>
  <c r="F14" i="12"/>
  <c r="D14" i="12" s="1"/>
  <c r="E14" i="12" s="1"/>
  <c r="F30" i="12"/>
  <c r="D30" i="12" s="1"/>
  <c r="E30" i="12" s="1"/>
  <c r="F15" i="12"/>
  <c r="D15" i="12" s="1"/>
  <c r="E15" i="12" s="1"/>
  <c r="F31" i="12"/>
  <c r="D31" i="12" s="1"/>
  <c r="E31" i="12" s="1"/>
  <c r="F20" i="12"/>
  <c r="D20" i="12" s="1"/>
  <c r="E20" i="12" s="1"/>
  <c r="F35" i="12"/>
  <c r="D35" i="12" s="1"/>
  <c r="E35" i="12" s="1"/>
</calcChain>
</file>

<file path=xl/connections.xml><?xml version="1.0" encoding="utf-8"?>
<connections xmlns="http://schemas.openxmlformats.org/spreadsheetml/2006/main">
  <connection id="1" name="report_generator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" name="report_generator1" type="6" refreshedVersion="0" background="1">
    <textPr prompt="0" sourceFile="\report_generator.csv">
      <textFields>
        <textField/>
      </textFields>
    </textPr>
  </connection>
  <connection id="3" name="report_generator1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" name="report_generator1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" name="report_generator1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" name="report_generator1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7" name="report_generator1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8" name="report_generator1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9" name="report_generator1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0" name="report_generator1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1" name="report_generator1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2" name="report_generator1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3" name="report_generator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4" name="report_generator2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5" name="report_generator2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6" name="report_generator2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7" name="report_generator2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8" name="report_generator2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19" name="report_generator2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0" name="report_generator2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1" name="report_generator2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2" name="report_generator2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3" name="report_generator2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4" name="report_generator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5" name="report_generator3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6" name="report_generator3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7" name="report_generator3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8" name="report_generator3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29" name="report_generator3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0" name="report_generator3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1" name="report_generator3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2" name="report_generator3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3" name="report_generator3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4" name="report_generator3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5" name="report_generator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6" name="report_generator4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7" name="report_generator4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8" name="report_generator4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39" name="report_generator4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0" name="report_generator4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1" name="report_generator45" type="6" refreshedVersion="0" background="1">
    <textPr prompt="0" sourceFile="F:\report_generator.csv" decimal="," thousands=".">
      <textFields>
        <textField/>
      </textFields>
    </textPr>
  </connection>
  <connection id="42" name="report_generator4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3" name="report_generator4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4" name="report_generator4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5" name="report_generator4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6" name="report_generator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7" name="report_generator50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8" name="report_generator51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49" name="report_generator52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0" name="report_generator53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1" name="report_generator54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2" name="report_generator55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3" name="report_generator5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4" name="report_generator5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5" name="report_generator5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6" name="report_generator5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7" name="report_generator6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8" name="report_generator7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59" name="report_generator8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  <connection id="60" name="report_generator9" type="6" refreshedVersion="4" background="1" saveData="1">
    <textPr prompt="0" codePage="437" sourceFile="D:\home\ricardo\Tripda\Modelo_DW\tripda-data-warehouse\report queries\reports\report_generator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<sst xmlns="http://schemas.openxmlformats.org/spreadsheetml/2006/main" count="351" uniqueCount="133">
  <si>
    <t>Traffic activity</t>
  </si>
  <si>
    <t>Realized View</t>
  </si>
  <si>
    <t>New Drivers</t>
  </si>
  <si>
    <t>New Passangers</t>
  </si>
  <si>
    <t>Available Seat Kilometer (ASK)</t>
  </si>
  <si>
    <t>Trips realized</t>
  </si>
  <si>
    <t>PAX transported</t>
  </si>
  <si>
    <t>Average PAX per trip realized</t>
  </si>
  <si>
    <t>Realized TRIP Yield</t>
  </si>
  <si>
    <t>Driver Cancelation rate</t>
  </si>
  <si>
    <t>PAX Cancelation rate</t>
  </si>
  <si>
    <t>Colombia</t>
  </si>
  <si>
    <t>Mexico</t>
  </si>
  <si>
    <t>Malaysia + Singapore</t>
  </si>
  <si>
    <t>Chile</t>
  </si>
  <si>
    <t>Argentina + Uruguay</t>
  </si>
  <si>
    <t>Philippines</t>
  </si>
  <si>
    <t>Taiwan</t>
  </si>
  <si>
    <t>United States</t>
  </si>
  <si>
    <t>India</t>
  </si>
  <si>
    <t>Pakistan</t>
  </si>
  <si>
    <t>Traffic activity view</t>
  </si>
  <si>
    <t>Date of when users book or offer a ride on the site</t>
  </si>
  <si>
    <t>Realized view</t>
  </si>
  <si>
    <t>Date of when trips actually occurs</t>
  </si>
  <si>
    <t>New Users</t>
  </si>
  <si>
    <t>New users on the given period</t>
  </si>
  <si>
    <t>New drivers on the given period</t>
  </si>
  <si>
    <t>New passangers  on the given period</t>
  </si>
  <si>
    <t>Trips Offered</t>
  </si>
  <si>
    <t>Number of new trips offered in the given date. Number of trips don't include stopovers. Eg: a trip from San Francisco to Los Angeles, stoping at Monterey and Santa Maria would count as 1 trip offered.</t>
  </si>
  <si>
    <t>Bookings</t>
  </si>
  <si>
    <t xml:space="preserve">Number of bookings in the given period. Eg: a booking of 3 seats booked on 12/09/2014 to travel on 14/09/2014 would be counted as 1 booking on 12/09/2014 </t>
  </si>
  <si>
    <t>Number of seats offered in the given period times the number of kilometers of each trip.</t>
  </si>
  <si>
    <t>Number of trips with at least one Tripda passenger in the given period, regardless the number of bookings in the car. Eg: a trip from Bogota to Manizales with 3 PAX and 3 different bookings would caount as 1 trip.</t>
  </si>
  <si>
    <t>Average PAX per trip realized  (PAX transported / Trips realized)</t>
  </si>
  <si>
    <t>Percentage of outstanding trips offered that converted into a realized trip, having at least one PAX transported. Don't confuse with "Trips offered". Here we consider the date when the trip takes place. Eg: if in one day Malaysia had 100 trips outstanding and 12 trips realized, the "Realized trip yield" would be 12%.</t>
  </si>
  <si>
    <t>Average Ticket</t>
  </si>
  <si>
    <t>Averege ticket paid by  passengers in the given period</t>
  </si>
  <si>
    <t>Average realized trip distance</t>
  </si>
  <si>
    <t>Average distance traveled in the given period. The average is weighted by the number of passenger on each trip.</t>
  </si>
  <si>
    <t>Percentage of PAX affected by driver cancellations for trips that would happen in that given period.  If a Driver cancels a trip, in which no PAX has yet booked a seat, this wont't count for this statistics. Eg: If there are 100 PAX travelig on Tripda in a given day and one driver cancels a ride with 4 seats booked, the cacelation rate would be 4%</t>
  </si>
  <si>
    <t>Percentage of trips canceled by passengers that would actually become a real trip in the given period</t>
  </si>
  <si>
    <t>Country Rank</t>
  </si>
  <si>
    <t>Rank</t>
  </si>
  <si>
    <t>Country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</si>
  <si>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</si>
  <si>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</si>
  <si>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</si>
  <si>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</si>
  <si>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</si>
  <si>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</si>
  <si>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</si>
  <si>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</si>
  <si>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</si>
  <si>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</si>
  <si>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</si>
  <si>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Brasil</t>
  </si>
  <si>
    <t>Index</t>
  </si>
  <si>
    <t>Unique trips realized</t>
  </si>
  <si>
    <t>Unique pax driver</t>
  </si>
  <si>
    <t xml:space="preserve"> Total</t>
  </si>
  <si>
    <t>Trips configurations (all pax plus drivers) that have ever occurred in the past</t>
  </si>
  <si>
    <t>Number of passengers transported in the given period</t>
  </si>
  <si>
    <t>Number of passengers transported that have never ever travel with the same driver in the past</t>
  </si>
  <si>
    <t>Cohort</t>
  </si>
  <si>
    <t>RR1 accumulated after 2 months</t>
  </si>
  <si>
    <t>((i) average between trips realized and unique trips + (ii) average between Pax transported and unique Pax combination)*distance travelled by all pax</t>
  </si>
  <si>
    <t>New user</t>
  </si>
  <si>
    <t>New Passengers</t>
  </si>
  <si>
    <t>New trips offered</t>
  </si>
  <si>
    <t>New Bookings</t>
  </si>
  <si>
    <t>AVG Realized Trip DIstance</t>
  </si>
  <si>
    <t>Tripda Report - Weekly</t>
  </si>
  <si>
    <t>12th</t>
  </si>
  <si>
    <t>13th</t>
  </si>
  <si>
    <t>14th</t>
  </si>
  <si>
    <t>15th</t>
  </si>
  <si>
    <t>16th</t>
  </si>
  <si>
    <t>17th</t>
  </si>
  <si>
    <t>18th</t>
  </si>
  <si>
    <t>19th</t>
  </si>
  <si>
    <t>20th</t>
  </si>
  <si>
    <t>24th</t>
  </si>
  <si>
    <t>25th</t>
  </si>
  <si>
    <t>26th</t>
  </si>
  <si>
    <t>27th</t>
  </si>
  <si>
    <t>28th</t>
  </si>
  <si>
    <t>29th</t>
  </si>
  <si>
    <t>30th</t>
  </si>
  <si>
    <t>34th</t>
  </si>
  <si>
    <t>21st</t>
  </si>
  <si>
    <t>22nd</t>
  </si>
  <si>
    <t>23rd</t>
  </si>
  <si>
    <t>31st</t>
  </si>
  <si>
    <t>32nd</t>
  </si>
  <si>
    <t>33rd</t>
  </si>
  <si>
    <t>country</t>
  </si>
  <si>
    <t>report_year</t>
  </si>
  <si>
    <t>report_reference</t>
  </si>
  <si>
    <t>new_users</t>
  </si>
  <si>
    <t>new_drivers</t>
  </si>
  <si>
    <t>new_passangers</t>
  </si>
  <si>
    <t>new_trip_offered</t>
  </si>
  <si>
    <t>new_bookings</t>
  </si>
  <si>
    <t>ask</t>
  </si>
  <si>
    <t>trip_realized</t>
  </si>
  <si>
    <t>unique_trip_realized</t>
  </si>
  <si>
    <t>pax_transported</t>
  </si>
  <si>
    <t>unique_pax_driver</t>
  </si>
  <si>
    <t>avg_pax/trip</t>
  </si>
  <si>
    <t>Realize_Trip_Yield</t>
  </si>
  <si>
    <t>Avg_Realized_Km</t>
  </si>
  <si>
    <t>Driver_Cancel_Rate</t>
  </si>
  <si>
    <t>Pax_Cancel_Rate</t>
  </si>
  <si>
    <t>December</t>
  </si>
  <si>
    <t>November</t>
  </si>
  <si>
    <t>October</t>
  </si>
  <si>
    <t>September</t>
  </si>
  <si>
    <t>TOTAL</t>
  </si>
  <si>
    <t>TITLE</t>
  </si>
  <si>
    <t>ROWS PER COUNTRY</t>
  </si>
  <si>
    <t>NUMBER OF COUNTRIES</t>
  </si>
  <si>
    <t>NUMBER OF TRAFFIC ACTIVITY</t>
  </si>
  <si>
    <t>NUMBER OF REALIZED VIEW</t>
  </si>
  <si>
    <t>TRAFFIC ACTIVITY</t>
  </si>
  <si>
    <t>REALIZED VIEW</t>
  </si>
  <si>
    <t>Today</t>
  </si>
  <si>
    <t>Month</t>
  </si>
  <si>
    <t>Week number</t>
  </si>
  <si>
    <t>Week day</t>
  </si>
  <si>
    <t>Beggining of week</t>
  </si>
  <si>
    <t>End of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</si>
</sst>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d/m;@"/>
    <numFmt numFmtId="165" formatCode="#,##0.000"/>
    <numFmt numFmtId="166" formatCode="0.000"/>
    <numFmt numFmtId="167" formatCode="_-[$€-2]\ * #,##0.00_-;\-[$€-2]\ * #,##0.00_-;_-[$€-2]\ * &quot;-&quot;??_-;_-@_-"/>
    <numFmt numFmtId="169" formatCode="mmmm"/>
    <numFmt numFmtId="170" formatCode="dddd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b/>
      <sz val="9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rgb="FFFF000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18BD9D"/>
        <bgColor indexed="64"/>
      </patternFill>
    </fill>
    <fill>
      <patternFill patternType="solid">
        <fgColor rgb="FF36E6C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</borders>
  <cellStyleXfs count="4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35" applyNumberFormat="0" applyFill="0" applyAlignment="0" applyProtection="0"/>
    <xf numFmtId="0" fontId="17" fillId="0" borderId="36" applyNumberFormat="0" applyFill="0" applyAlignment="0" applyProtection="0"/>
    <xf numFmtId="0" fontId="18" fillId="0" borderId="37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38" applyNumberFormat="0" applyAlignment="0" applyProtection="0"/>
    <xf numFmtId="0" fontId="23" fillId="11" borderId="39" applyNumberFormat="0" applyAlignment="0" applyProtection="0"/>
    <xf numFmtId="0" fontId="24" fillId="11" borderId="38" applyNumberFormat="0" applyAlignment="0" applyProtection="0"/>
    <xf numFmtId="0" fontId="25" fillId="0" borderId="40" applyNumberFormat="0" applyFill="0" applyAlignment="0" applyProtection="0"/>
    <xf numFmtId="0" fontId="26" fillId="12" borderId="41" applyNumberFormat="0" applyAlignment="0" applyProtection="0"/>
    <xf numFmtId="0" fontId="27" fillId="0" borderId="0" applyNumberFormat="0" applyFill="0" applyBorder="0" applyAlignment="0" applyProtection="0"/>
    <xf numFmtId="0" fontId="1" fillId="13" borderId="42" applyNumberFormat="0" applyFont="0" applyAlignment="0" applyProtection="0"/>
    <xf numFmtId="0" fontId="28" fillId="0" borderId="0" applyNumberFormat="0" applyFill="0" applyBorder="0" applyAlignment="0" applyProtection="0"/>
    <xf numFmtId="0" fontId="29" fillId="0" borderId="43" applyNumberFormat="0" applyFill="0" applyAlignment="0" applyProtection="0"/>
    <xf numFmtId="0" fontId="2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" fillId="37" borderId="0" applyNumberFormat="0" applyBorder="0" applyAlignment="0" applyProtection="0"/>
    <xf numFmtId="9" fontId="1" fillId="0" borderId="0" applyFont="0" applyFill="0" applyBorder="0" applyAlignment="0" applyProtection="0"/>
  </cellStyleXfs>
  <cellXfs count="274">
    <xf numFmtId="0" fontId="0" fillId="0" borderId="0" xfId="0"/>
    <xf numFmtId="0" fontId="0" fillId="0" borderId="0" xfId="0" applyAlignment="1">
      <alignment wrapText="1"/>
    </xf>
    <xf numFmtId="0" fontId="3" fillId="0" borderId="0" xfId="0" applyFont="1" applyBorder="1" applyAlignment="1">
      <alignment horizontal="center" vertical="center"/>
    </xf>
    <xf numFmtId="0" fontId="13" fillId="4" borderId="13" xfId="0" applyFont="1" applyFill="1" applyBorder="1" applyAlignment="1">
      <alignment horizontal="center"/>
    </xf>
    <xf numFmtId="0" fontId="13" fillId="6" borderId="13" xfId="0" applyFont="1" applyFill="1" applyBorder="1" applyAlignment="1">
      <alignment horizontal="center"/>
    </xf>
    <xf numFmtId="0" fontId="0" fillId="0" borderId="0" xfId="0" applyNumberFormat="1"/>
    <xf numFmtId="0" fontId="13" fillId="0" borderId="13" xfId="0" applyFont="1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17" xfId="0" applyFont="1" applyFill="1" applyBorder="1" applyAlignment="1">
      <alignment horizontal="center"/>
    </xf>
    <xf numFmtId="0" fontId="0" fillId="0" borderId="0" xfId="0"/>
    <xf numFmtId="164" fontId="9" fillId="0" borderId="0" xfId="1" applyNumberFormat="1" applyFont="1" applyBorder="1" applyAlignment="1">
      <alignment horizontal="center" vertical="center"/>
    </xf>
    <xf numFmtId="3" fontId="9" fillId="0" borderId="0" xfId="3" applyNumberFormat="1" applyFont="1" applyBorder="1" applyAlignment="1">
      <alignment horizontal="center" vertical="center"/>
    </xf>
    <xf numFmtId="3" fontId="9" fillId="0" borderId="0" xfId="2" applyNumberFormat="1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4" fontId="4" fillId="0" borderId="0" xfId="0" applyNumberFormat="1" applyFont="1" applyBorder="1" applyAlignment="1"/>
    <xf numFmtId="0" fontId="0" fillId="0" borderId="0" xfId="0" applyBorder="1" applyAlignment="1"/>
    <xf numFmtId="0" fontId="0" fillId="0" borderId="0" xfId="0" applyAlignment="1">
      <alignment wrapText="1"/>
    </xf>
    <xf numFmtId="14" fontId="6" fillId="3" borderId="4" xfId="0" applyNumberFormat="1" applyFont="1" applyFill="1" applyBorder="1" applyAlignment="1">
      <alignment horizontal="center" vertical="center"/>
    </xf>
    <xf numFmtId="0" fontId="8" fillId="4" borderId="44" xfId="1" applyFont="1" applyFill="1" applyBorder="1" applyAlignment="1">
      <alignment vertical="center"/>
    </xf>
    <xf numFmtId="3" fontId="9" fillId="0" borderId="45" xfId="3" applyNumberFormat="1" applyFont="1" applyBorder="1" applyAlignment="1">
      <alignment horizontal="center" vertical="center"/>
    </xf>
    <xf numFmtId="3" fontId="9" fillId="0" borderId="49" xfId="3" applyNumberFormat="1" applyFont="1" applyBorder="1" applyAlignment="1">
      <alignment horizontal="center" vertical="center"/>
    </xf>
    <xf numFmtId="0" fontId="8" fillId="4" borderId="0" xfId="1" applyFont="1" applyFill="1" applyBorder="1" applyAlignment="1">
      <alignment vertical="center"/>
    </xf>
    <xf numFmtId="0" fontId="8" fillId="4" borderId="6" xfId="1" applyFont="1" applyFill="1" applyBorder="1" applyAlignment="1">
      <alignment vertical="center"/>
    </xf>
    <xf numFmtId="164" fontId="9" fillId="0" borderId="17" xfId="1" applyNumberFormat="1" applyFont="1" applyBorder="1" applyAlignment="1">
      <alignment horizontal="center" vertical="center"/>
    </xf>
    <xf numFmtId="3" fontId="9" fillId="0" borderId="29" xfId="2" applyNumberFormat="1" applyFont="1" applyBorder="1" applyAlignment="1">
      <alignment horizontal="center" vertical="center"/>
    </xf>
    <xf numFmtId="0" fontId="8" fillId="4" borderId="28" xfId="1" applyFont="1" applyFill="1" applyBorder="1" applyAlignment="1">
      <alignment vertical="center"/>
    </xf>
    <xf numFmtId="0" fontId="8" fillId="2" borderId="61" xfId="0" applyFont="1" applyFill="1" applyBorder="1" applyAlignment="1">
      <alignment vertical="center"/>
    </xf>
    <xf numFmtId="164" fontId="9" fillId="0" borderId="17" xfId="0" applyNumberFormat="1" applyFont="1" applyBorder="1" applyAlignment="1">
      <alignment horizontal="center" vertical="center"/>
    </xf>
    <xf numFmtId="164" fontId="9" fillId="0" borderId="62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/>
    </xf>
    <xf numFmtId="0" fontId="7" fillId="3" borderId="59" xfId="0" applyFont="1" applyFill="1" applyBorder="1" applyAlignment="1">
      <alignment horizontal="center" vertical="center" wrapText="1"/>
    </xf>
    <xf numFmtId="0" fontId="8" fillId="4" borderId="23" xfId="1" applyFont="1" applyFill="1" applyBorder="1" applyAlignment="1">
      <alignment vertical="center"/>
    </xf>
    <xf numFmtId="3" fontId="9" fillId="0" borderId="31" xfId="2" applyNumberFormat="1" applyFont="1" applyBorder="1" applyAlignment="1">
      <alignment horizontal="center" vertical="center"/>
    </xf>
    <xf numFmtId="3" fontId="9" fillId="0" borderId="51" xfId="3" applyNumberFormat="1" applyFont="1" applyBorder="1" applyAlignment="1">
      <alignment horizontal="center" vertical="center"/>
    </xf>
    <xf numFmtId="3" fontId="9" fillId="0" borderId="31" xfId="3" applyNumberFormat="1" applyFont="1" applyBorder="1" applyAlignment="1">
      <alignment horizontal="center" vertical="center"/>
    </xf>
    <xf numFmtId="3" fontId="9" fillId="0" borderId="52" xfId="2" applyNumberFormat="1" applyFont="1" applyBorder="1" applyAlignment="1">
      <alignment horizontal="center" vertical="center"/>
    </xf>
    <xf numFmtId="0" fontId="8" fillId="4" borderId="63" xfId="1" applyFont="1" applyFill="1" applyBorder="1" applyAlignment="1">
      <alignment vertical="center"/>
    </xf>
    <xf numFmtId="3" fontId="9" fillId="0" borderId="30" xfId="2" applyNumberFormat="1" applyFont="1" applyBorder="1" applyAlignment="1">
      <alignment horizontal="center" vertical="center"/>
    </xf>
    <xf numFmtId="0" fontId="9" fillId="0" borderId="31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4" fontId="4" fillId="0" borderId="0" xfId="0" applyNumberFormat="1" applyFont="1" applyBorder="1" applyAlignment="1"/>
    <xf numFmtId="14" fontId="6" fillId="3" borderId="4" xfId="0" applyNumberFormat="1" applyFont="1" applyFill="1" applyBorder="1" applyAlignment="1">
      <alignment horizontal="center" vertical="center"/>
    </xf>
    <xf numFmtId="0" fontId="7" fillId="3" borderId="58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8" fillId="2" borderId="46" xfId="0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47" xfId="0" applyFont="1" applyFill="1" applyBorder="1" applyAlignment="1">
      <alignment vertical="center"/>
    </xf>
    <xf numFmtId="0" fontId="0" fillId="0" borderId="0" xfId="0" applyBorder="1" applyAlignment="1"/>
    <xf numFmtId="0" fontId="8" fillId="4" borderId="50" xfId="1" applyFont="1" applyFill="1" applyBorder="1" applyAlignment="1">
      <alignment vertical="center"/>
    </xf>
    <xf numFmtId="0" fontId="9" fillId="0" borderId="51" xfId="0" applyNumberFormat="1" applyFont="1" applyBorder="1" applyAlignment="1">
      <alignment horizontal="center" vertical="center"/>
    </xf>
    <xf numFmtId="3" fontId="9" fillId="0" borderId="51" xfId="2" applyNumberFormat="1" applyFont="1" applyBorder="1" applyAlignment="1">
      <alignment horizontal="center" vertical="center"/>
    </xf>
    <xf numFmtId="0" fontId="8" fillId="4" borderId="34" xfId="1" applyFont="1" applyFill="1" applyBorder="1" applyAlignment="1">
      <alignment vertical="center"/>
    </xf>
    <xf numFmtId="3" fontId="9" fillId="0" borderId="45" xfId="2" applyNumberFormat="1" applyFont="1" applyBorder="1" applyAlignment="1">
      <alignment horizontal="center" vertical="center"/>
    </xf>
    <xf numFmtId="3" fontId="9" fillId="0" borderId="49" xfId="2" applyNumberFormat="1" applyFont="1" applyBorder="1" applyAlignment="1">
      <alignment horizontal="center" vertical="center"/>
    </xf>
    <xf numFmtId="3" fontId="9" fillId="0" borderId="63" xfId="2" applyNumberFormat="1" applyFont="1" applyBorder="1" applyAlignment="1">
      <alignment horizontal="center" vertical="center"/>
    </xf>
    <xf numFmtId="0" fontId="9" fillId="0" borderId="23" xfId="0" applyNumberFormat="1" applyFont="1" applyBorder="1" applyAlignment="1">
      <alignment horizontal="center" vertical="center"/>
    </xf>
    <xf numFmtId="3" fontId="9" fillId="0" borderId="23" xfId="3" applyNumberFormat="1" applyFont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0" fontId="13" fillId="4" borderId="25" xfId="0" applyFont="1" applyFill="1" applyBorder="1" applyAlignment="1">
      <alignment horizontal="center"/>
    </xf>
    <xf numFmtId="0" fontId="13" fillId="6" borderId="25" xfId="0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/>
    </xf>
    <xf numFmtId="0" fontId="14" fillId="0" borderId="25" xfId="0" applyFont="1" applyFill="1" applyBorder="1" applyAlignment="1">
      <alignment horizontal="center"/>
    </xf>
    <xf numFmtId="0" fontId="14" fillId="0" borderId="30" xfId="0" applyFont="1" applyFill="1" applyBorder="1" applyAlignment="1">
      <alignment horizontal="center"/>
    </xf>
    <xf numFmtId="0" fontId="13" fillId="4" borderId="65" xfId="0" applyFont="1" applyFill="1" applyBorder="1" applyAlignment="1">
      <alignment horizontal="center"/>
    </xf>
    <xf numFmtId="0" fontId="13" fillId="6" borderId="65" xfId="0" applyFont="1" applyFill="1" applyBorder="1" applyAlignment="1">
      <alignment horizontal="center"/>
    </xf>
    <xf numFmtId="0" fontId="13" fillId="0" borderId="65" xfId="0" applyFont="1" applyFill="1" applyBorder="1" applyAlignment="1">
      <alignment horizontal="center"/>
    </xf>
    <xf numFmtId="0" fontId="14" fillId="0" borderId="65" xfId="0" applyFont="1" applyFill="1" applyBorder="1" applyAlignment="1">
      <alignment horizontal="center"/>
    </xf>
    <xf numFmtId="0" fontId="14" fillId="0" borderId="66" xfId="0" applyFont="1" applyFill="1" applyBorder="1" applyAlignment="1">
      <alignment horizontal="center"/>
    </xf>
    <xf numFmtId="0" fontId="13" fillId="0" borderId="64" xfId="0" applyFont="1" applyBorder="1" applyAlignment="1">
      <alignment horizontal="center"/>
    </xf>
    <xf numFmtId="0" fontId="13" fillId="5" borderId="65" xfId="0" applyFont="1" applyFill="1" applyBorder="1" applyAlignment="1">
      <alignment horizontal="center"/>
    </xf>
    <xf numFmtId="0" fontId="13" fillId="0" borderId="6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5" borderId="25" xfId="0" applyNumberFormat="1" applyFont="1" applyFill="1" applyBorder="1" applyAlignment="1">
      <alignment horizontal="center"/>
    </xf>
    <xf numFmtId="165" fontId="9" fillId="0" borderId="8" xfId="2" applyNumberFormat="1" applyFont="1" applyBorder="1" applyAlignment="1">
      <alignment horizontal="center" vertical="center"/>
    </xf>
    <xf numFmtId="165" fontId="9" fillId="0" borderId="13" xfId="2" applyNumberFormat="1" applyFont="1" applyBorder="1" applyAlignment="1">
      <alignment horizontal="center" vertical="center"/>
    </xf>
    <xf numFmtId="166" fontId="13" fillId="5" borderId="13" xfId="0" applyNumberFormat="1" applyFont="1" applyFill="1" applyBorder="1" applyAlignment="1">
      <alignment horizontal="center"/>
    </xf>
    <xf numFmtId="0" fontId="0" fillId="0" borderId="77" xfId="0" applyBorder="1"/>
    <xf numFmtId="0" fontId="29" fillId="4" borderId="75" xfId="0" applyFont="1" applyFill="1" applyBorder="1"/>
    <xf numFmtId="0" fontId="0" fillId="0" borderId="69" xfId="0" applyBorder="1"/>
    <xf numFmtId="0" fontId="0" fillId="0" borderId="71" xfId="0" applyBorder="1"/>
    <xf numFmtId="0" fontId="29" fillId="4" borderId="76" xfId="0" applyFont="1" applyFill="1" applyBorder="1"/>
    <xf numFmtId="0" fontId="0" fillId="0" borderId="78" xfId="0" applyBorder="1"/>
    <xf numFmtId="0" fontId="0" fillId="0" borderId="25" xfId="0" applyBorder="1"/>
    <xf numFmtId="0" fontId="0" fillId="0" borderId="30" xfId="0" applyBorder="1"/>
    <xf numFmtId="0" fontId="29" fillId="4" borderId="4" xfId="0" applyFont="1" applyFill="1" applyBorder="1"/>
    <xf numFmtId="0" fontId="0" fillId="0" borderId="28" xfId="0" applyBorder="1"/>
    <xf numFmtId="0" fontId="0" fillId="0" borderId="13" xfId="0" applyBorder="1"/>
    <xf numFmtId="0" fontId="0" fillId="0" borderId="17" xfId="0" applyBorder="1"/>
    <xf numFmtId="167" fontId="0" fillId="0" borderId="0" xfId="0" applyNumberFormat="1"/>
    <xf numFmtId="0" fontId="7" fillId="3" borderId="80" xfId="0" applyFont="1" applyFill="1" applyBorder="1" applyAlignment="1">
      <alignment horizontal="center" vertical="center" wrapText="1"/>
    </xf>
    <xf numFmtId="3" fontId="9" fillId="0" borderId="45" xfId="0" applyNumberFormat="1" applyFont="1" applyBorder="1" applyAlignment="1">
      <alignment horizontal="center" vertical="center"/>
    </xf>
    <xf numFmtId="3" fontId="9" fillId="0" borderId="49" xfId="0" applyNumberFormat="1" applyFont="1" applyBorder="1" applyAlignment="1">
      <alignment horizontal="center" vertical="center"/>
    </xf>
    <xf numFmtId="0" fontId="8" fillId="2" borderId="83" xfId="0" applyFont="1" applyFill="1" applyBorder="1" applyAlignment="1">
      <alignment vertical="center"/>
    </xf>
    <xf numFmtId="3" fontId="9" fillId="0" borderId="84" xfId="2" applyNumberFormat="1" applyFont="1" applyBorder="1" applyAlignment="1">
      <alignment horizontal="center" vertical="center"/>
    </xf>
    <xf numFmtId="3" fontId="9" fillId="0" borderId="86" xfId="2" applyNumberFormat="1" applyFont="1" applyBorder="1" applyAlignment="1">
      <alignment horizontal="center" vertical="center"/>
    </xf>
    <xf numFmtId="0" fontId="8" fillId="4" borderId="83" xfId="1" applyFont="1" applyFill="1" applyBorder="1" applyAlignment="1">
      <alignment vertical="center"/>
    </xf>
    <xf numFmtId="14" fontId="6" fillId="3" borderId="79" xfId="0" applyNumberFormat="1" applyFont="1" applyFill="1" applyBorder="1" applyAlignment="1">
      <alignment horizontal="center" vertical="center"/>
    </xf>
    <xf numFmtId="0" fontId="8" fillId="2" borderId="87" xfId="0" applyFont="1" applyFill="1" applyBorder="1" applyAlignment="1">
      <alignment vertical="center"/>
    </xf>
    <xf numFmtId="164" fontId="9" fillId="0" borderId="88" xfId="0" applyNumberFormat="1" applyFont="1" applyBorder="1" applyAlignment="1">
      <alignment horizontal="center" vertical="center"/>
    </xf>
    <xf numFmtId="164" fontId="9" fillId="0" borderId="89" xfId="0" applyNumberFormat="1" applyFont="1" applyBorder="1" applyAlignment="1">
      <alignment horizontal="center" vertical="center"/>
    </xf>
    <xf numFmtId="0" fontId="8" fillId="4" borderId="81" xfId="1" applyFont="1" applyFill="1" applyBorder="1" applyAlignment="1">
      <alignment vertical="center"/>
    </xf>
    <xf numFmtId="164" fontId="9" fillId="0" borderId="88" xfId="1" applyNumberFormat="1" applyFont="1" applyBorder="1" applyAlignment="1">
      <alignment horizontal="center" vertical="center"/>
    </xf>
    <xf numFmtId="164" fontId="9" fillId="0" borderId="89" xfId="1" applyNumberFormat="1" applyFont="1" applyBorder="1" applyAlignment="1">
      <alignment horizontal="center" vertical="center"/>
    </xf>
    <xf numFmtId="0" fontId="7" fillId="3" borderId="91" xfId="0" applyFont="1" applyFill="1" applyBorder="1" applyAlignment="1">
      <alignment horizontal="center" vertical="center" wrapText="1"/>
    </xf>
    <xf numFmtId="3" fontId="9" fillId="0" borderId="82" xfId="2" applyNumberFormat="1" applyFont="1" applyBorder="1" applyAlignment="1">
      <alignment horizontal="center" vertical="center"/>
    </xf>
    <xf numFmtId="3" fontId="9" fillId="0" borderId="85" xfId="2" applyNumberFormat="1" applyFont="1" applyBorder="1" applyAlignment="1">
      <alignment horizontal="center" vertical="center"/>
    </xf>
    <xf numFmtId="0" fontId="7" fillId="3" borderId="93" xfId="0" applyFont="1" applyFill="1" applyBorder="1" applyAlignment="1">
      <alignment horizontal="center" vertical="center" wrapText="1"/>
    </xf>
    <xf numFmtId="0" fontId="8" fillId="4" borderId="94" xfId="1" applyFont="1" applyFill="1" applyBorder="1" applyAlignment="1">
      <alignment vertical="center"/>
    </xf>
    <xf numFmtId="3" fontId="9" fillId="0" borderId="82" xfId="3" applyNumberFormat="1" applyFont="1" applyBorder="1" applyAlignment="1">
      <alignment horizontal="center" vertical="center"/>
    </xf>
    <xf numFmtId="3" fontId="9" fillId="0" borderId="85" xfId="3" applyNumberFormat="1" applyFont="1" applyBorder="1" applyAlignment="1">
      <alignment horizontal="center" vertical="center"/>
    </xf>
    <xf numFmtId="0" fontId="8" fillId="4" borderId="87" xfId="1" applyFont="1" applyFill="1" applyBorder="1" applyAlignment="1">
      <alignment vertical="center"/>
    </xf>
    <xf numFmtId="3" fontId="9" fillId="0" borderId="82" xfId="0" applyNumberFormat="1" applyFont="1" applyBorder="1" applyAlignment="1">
      <alignment horizontal="center" vertical="center"/>
    </xf>
    <xf numFmtId="3" fontId="9" fillId="0" borderId="85" xfId="0" applyNumberFormat="1" applyFont="1" applyBorder="1" applyAlignment="1">
      <alignment horizontal="center" vertical="center"/>
    </xf>
    <xf numFmtId="4" fontId="9" fillId="0" borderId="45" xfId="2" applyNumberFormat="1" applyFont="1" applyBorder="1" applyAlignment="1">
      <alignment horizontal="center" vertical="center"/>
    </xf>
    <xf numFmtId="4" fontId="9" fillId="0" borderId="49" xfId="2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" fontId="9" fillId="0" borderId="45" xfId="3" applyNumberFormat="1" applyFont="1" applyBorder="1" applyAlignment="1">
      <alignment horizontal="center" vertical="center"/>
    </xf>
    <xf numFmtId="4" fontId="9" fillId="0" borderId="49" xfId="3" applyNumberFormat="1" applyFont="1" applyBorder="1" applyAlignment="1">
      <alignment horizontal="center" vertical="center"/>
    </xf>
    <xf numFmtId="10" fontId="9" fillId="0" borderId="45" xfId="45" applyNumberFormat="1" applyFont="1" applyBorder="1" applyAlignment="1">
      <alignment horizontal="center" vertical="center"/>
    </xf>
    <xf numFmtId="10" fontId="9" fillId="0" borderId="49" xfId="45" applyNumberFormat="1" applyFont="1" applyBorder="1" applyAlignment="1">
      <alignment horizontal="center" vertical="center"/>
    </xf>
    <xf numFmtId="4" fontId="9" fillId="0" borderId="84" xfId="2" applyNumberFormat="1" applyFont="1" applyBorder="1" applyAlignment="1">
      <alignment horizontal="center" vertical="center"/>
    </xf>
    <xf numFmtId="4" fontId="9" fillId="0" borderId="86" xfId="2" applyNumberFormat="1" applyFont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0" fontId="29" fillId="4" borderId="68" xfId="0" applyFont="1" applyFill="1" applyBorder="1"/>
    <xf numFmtId="0" fontId="29" fillId="4" borderId="50" xfId="0" applyFont="1" applyFill="1" applyBorder="1"/>
    <xf numFmtId="0" fontId="29" fillId="4" borderId="73" xfId="0" applyFont="1" applyFill="1" applyBorder="1"/>
    <xf numFmtId="0" fontId="29" fillId="4" borderId="20" xfId="0" applyFont="1" applyFill="1" applyBorder="1"/>
    <xf numFmtId="0" fontId="29" fillId="4" borderId="74" xfId="0" applyFont="1" applyFill="1" applyBorder="1"/>
    <xf numFmtId="0" fontId="29" fillId="4" borderId="31" xfId="0" applyFont="1" applyFill="1" applyBorder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10" fillId="2" borderId="46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0" fontId="10" fillId="2" borderId="60" xfId="0" applyFont="1" applyFill="1" applyBorder="1" applyAlignment="1">
      <alignment horizontal="center" vertical="center" wrapText="1"/>
    </xf>
    <xf numFmtId="0" fontId="11" fillId="3" borderId="45" xfId="0" applyFont="1" applyFill="1" applyBorder="1" applyAlignment="1">
      <alignment horizontal="left" vertical="center" wrapText="1"/>
    </xf>
    <xf numFmtId="0" fontId="11" fillId="3" borderId="48" xfId="0" applyFont="1" applyFill="1" applyBorder="1" applyAlignment="1">
      <alignment horizontal="left" vertical="center" wrapText="1"/>
    </xf>
    <xf numFmtId="0" fontId="12" fillId="0" borderId="16" xfId="0" applyFont="1" applyFill="1" applyBorder="1" applyAlignment="1">
      <alignment vertical="center" wrapText="1"/>
    </xf>
    <xf numFmtId="0" fontId="12" fillId="0" borderId="45" xfId="0" applyFont="1" applyFill="1" applyBorder="1" applyAlignment="1">
      <alignment vertical="center" wrapText="1"/>
    </xf>
    <xf numFmtId="0" fontId="12" fillId="0" borderId="48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left" vertical="center" wrapText="1"/>
    </xf>
    <xf numFmtId="0" fontId="11" fillId="3" borderId="25" xfId="0" applyFont="1" applyFill="1" applyBorder="1" applyAlignment="1">
      <alignment horizontal="left" vertical="center" wrapText="1"/>
    </xf>
    <xf numFmtId="0" fontId="12" fillId="0" borderId="55" xfId="0" applyFont="1" applyFill="1" applyBorder="1" applyAlignment="1">
      <alignment vertical="center" wrapText="1"/>
    </xf>
    <xf numFmtId="0" fontId="12" fillId="0" borderId="20" xfId="0" applyFont="1" applyFill="1" applyBorder="1" applyAlignment="1">
      <alignment vertical="center" wrapText="1"/>
    </xf>
    <xf numFmtId="0" fontId="12" fillId="0" borderId="25" xfId="0" applyFont="1" applyFill="1" applyBorder="1" applyAlignment="1">
      <alignment vertical="center" wrapText="1"/>
    </xf>
    <xf numFmtId="0" fontId="11" fillId="3" borderId="29" xfId="0" applyFont="1" applyFill="1" applyBorder="1" applyAlignment="1">
      <alignment horizontal="left" vertical="center" wrapText="1"/>
    </xf>
    <xf numFmtId="0" fontId="11" fillId="3" borderId="30" xfId="0" applyFont="1" applyFill="1" applyBorder="1" applyAlignment="1">
      <alignment horizontal="left" vertical="center" wrapText="1"/>
    </xf>
    <xf numFmtId="0" fontId="12" fillId="0" borderId="57" xfId="0" applyFont="1" applyFill="1" applyBorder="1" applyAlignment="1">
      <alignment vertical="center" wrapText="1"/>
    </xf>
    <xf numFmtId="0" fontId="12" fillId="0" borderId="31" xfId="0" applyFont="1" applyFill="1" applyBorder="1" applyAlignment="1">
      <alignment vertical="center" wrapText="1"/>
    </xf>
    <xf numFmtId="0" fontId="12" fillId="0" borderId="30" xfId="0" applyFont="1" applyFill="1" applyBorder="1" applyAlignment="1">
      <alignment vertical="center" wrapText="1"/>
    </xf>
    <xf numFmtId="0" fontId="12" fillId="0" borderId="16" xfId="0" applyFont="1" applyFill="1" applyBorder="1" applyAlignment="1">
      <alignment horizontal="left" vertical="center" wrapText="1"/>
    </xf>
    <xf numFmtId="0" fontId="12" fillId="0" borderId="45" xfId="0" applyFont="1" applyFill="1" applyBorder="1" applyAlignment="1">
      <alignment horizontal="left" vertical="center" wrapText="1"/>
    </xf>
    <xf numFmtId="0" fontId="12" fillId="0" borderId="48" xfId="0" applyFont="1" applyFill="1" applyBorder="1" applyAlignment="1">
      <alignment horizontal="left" vertical="center" wrapText="1"/>
    </xf>
    <xf numFmtId="0" fontId="12" fillId="0" borderId="12" xfId="0" applyFont="1" applyFill="1" applyBorder="1" applyAlignment="1">
      <alignment vertical="center" wrapText="1"/>
    </xf>
    <xf numFmtId="0" fontId="12" fillId="0" borderId="10" xfId="0" applyFont="1" applyFill="1" applyBorder="1" applyAlignment="1">
      <alignment vertical="center" wrapText="1"/>
    </xf>
    <xf numFmtId="0" fontId="12" fillId="0" borderId="11" xfId="0" applyFont="1" applyFill="1" applyBorder="1" applyAlignment="1">
      <alignment vertical="center" wrapText="1"/>
    </xf>
    <xf numFmtId="0" fontId="12" fillId="0" borderId="55" xfId="0" applyFont="1" applyFill="1" applyBorder="1" applyAlignment="1">
      <alignment horizontal="left" vertical="center" wrapText="1"/>
    </xf>
    <xf numFmtId="0" fontId="12" fillId="0" borderId="20" xfId="0" applyFont="1" applyFill="1" applyBorder="1" applyAlignment="1">
      <alignment horizontal="left" vertical="center" wrapText="1"/>
    </xf>
    <xf numFmtId="0" fontId="12" fillId="0" borderId="25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1" xfId="0" applyFont="1" applyFill="1" applyBorder="1" applyAlignment="1">
      <alignment horizontal="left" vertical="center" wrapText="1"/>
    </xf>
    <xf numFmtId="0" fontId="2" fillId="2" borderId="57" xfId="0" applyFont="1" applyFill="1" applyBorder="1"/>
    <xf numFmtId="0" fontId="2" fillId="2" borderId="18" xfId="0" applyFont="1" applyFill="1" applyBorder="1"/>
    <xf numFmtId="0" fontId="0" fillId="0" borderId="29" xfId="0" applyBorder="1" applyAlignment="1"/>
    <xf numFmtId="0" fontId="0" fillId="0" borderId="31" xfId="0" applyBorder="1" applyAlignment="1"/>
    <xf numFmtId="0" fontId="0" fillId="0" borderId="30" xfId="0" applyBorder="1" applyAlignment="1"/>
    <xf numFmtId="0" fontId="12" fillId="0" borderId="33" xfId="0" applyFont="1" applyFill="1" applyBorder="1" applyAlignment="1">
      <alignment vertical="center" wrapText="1"/>
    </xf>
    <xf numFmtId="0" fontId="12" fillId="0" borderId="32" xfId="0" applyFont="1" applyFill="1" applyBorder="1" applyAlignment="1">
      <alignment vertical="center" wrapText="1"/>
    </xf>
    <xf numFmtId="0" fontId="12" fillId="0" borderId="29" xfId="0" applyFont="1" applyFill="1" applyBorder="1" applyAlignment="1">
      <alignment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left" vertical="center" wrapText="1"/>
    </xf>
    <xf numFmtId="0" fontId="11" fillId="3" borderId="54" xfId="0" applyFont="1" applyFill="1" applyBorder="1" applyAlignment="1">
      <alignment horizontal="left" vertical="center" wrapText="1"/>
    </xf>
    <xf numFmtId="0" fontId="12" fillId="0" borderId="9" xfId="0" applyFont="1" applyFill="1" applyBorder="1" applyAlignment="1">
      <alignment vertical="center" wrapText="1"/>
    </xf>
    <xf numFmtId="0" fontId="12" fillId="0" borderId="22" xfId="0" applyFont="1" applyFill="1" applyBorder="1" applyAlignment="1">
      <alignment vertical="center" wrapText="1"/>
    </xf>
    <xf numFmtId="0" fontId="12" fillId="0" borderId="50" xfId="0" applyFont="1" applyFill="1" applyBorder="1" applyAlignment="1">
      <alignment vertical="center" wrapText="1"/>
    </xf>
    <xf numFmtId="0" fontId="12" fillId="0" borderId="54" xfId="0" applyFont="1" applyFill="1" applyBorder="1" applyAlignment="1">
      <alignment vertical="center" wrapText="1"/>
    </xf>
    <xf numFmtId="0" fontId="12" fillId="0" borderId="14" xfId="0" applyFont="1" applyFill="1" applyBorder="1" applyAlignment="1">
      <alignment vertical="center" wrapText="1"/>
    </xf>
    <xf numFmtId="0" fontId="12" fillId="0" borderId="15" xfId="0" applyFont="1" applyFill="1" applyBorder="1" applyAlignment="1">
      <alignment vertical="center" wrapText="1"/>
    </xf>
    <xf numFmtId="0" fontId="12" fillId="0" borderId="19" xfId="0" applyFont="1" applyFill="1" applyBorder="1" applyAlignment="1">
      <alignment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53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59" xfId="0" applyFont="1" applyFill="1" applyBorder="1" applyAlignment="1">
      <alignment horizontal="center"/>
    </xf>
    <xf numFmtId="0" fontId="2" fillId="2" borderId="56" xfId="0" applyFont="1" applyFill="1" applyBorder="1"/>
    <xf numFmtId="0" fontId="2" fillId="2" borderId="12" xfId="0" applyFont="1" applyFill="1" applyBorder="1"/>
    <xf numFmtId="0" fontId="0" fillId="0" borderId="22" xfId="0" applyBorder="1" applyAlignment="1"/>
    <xf numFmtId="0" fontId="0" fillId="0" borderId="50" xfId="0" applyBorder="1" applyAlignment="1"/>
    <xf numFmtId="0" fontId="0" fillId="0" borderId="54" xfId="0" applyBorder="1" applyAlignment="1"/>
    <xf numFmtId="0" fontId="5" fillId="2" borderId="90" xfId="0" applyFont="1" applyFill="1" applyBorder="1" applyAlignment="1">
      <alignment horizontal="center"/>
    </xf>
    <xf numFmtId="0" fontId="5" fillId="2" borderId="92" xfId="0" applyFont="1" applyFill="1" applyBorder="1" applyAlignment="1">
      <alignment horizontal="center"/>
    </xf>
    <xf numFmtId="3" fontId="0" fillId="0" borderId="0" xfId="0" applyNumberFormat="1"/>
    <xf numFmtId="3" fontId="2" fillId="2" borderId="56" xfId="0" applyNumberFormat="1" applyFont="1" applyFill="1" applyBorder="1"/>
    <xf numFmtId="3" fontId="2" fillId="2" borderId="12" xfId="0" applyNumberFormat="1" applyFont="1" applyFill="1" applyBorder="1"/>
    <xf numFmtId="3" fontId="2" fillId="2" borderId="57" xfId="0" applyNumberFormat="1" applyFont="1" applyFill="1" applyBorder="1"/>
    <xf numFmtId="3" fontId="2" fillId="2" borderId="18" xfId="0" applyNumberFormat="1" applyFont="1" applyFill="1" applyBorder="1"/>
    <xf numFmtId="3" fontId="0" fillId="0" borderId="0" xfId="0" applyNumberFormat="1" applyBorder="1" applyAlignment="1"/>
    <xf numFmtId="3" fontId="10" fillId="2" borderId="7" xfId="0" applyNumberFormat="1" applyFont="1" applyFill="1" applyBorder="1" applyAlignment="1">
      <alignment horizontal="center" vertical="center" wrapText="1"/>
    </xf>
    <xf numFmtId="3" fontId="10" fillId="2" borderId="21" xfId="0" applyNumberFormat="1" applyFont="1" applyFill="1" applyBorder="1" applyAlignment="1">
      <alignment horizontal="center" vertical="center" wrapText="1"/>
    </xf>
    <xf numFmtId="3" fontId="10" fillId="2" borderId="23" xfId="0" applyNumberFormat="1" applyFont="1" applyFill="1" applyBorder="1" applyAlignment="1">
      <alignment horizontal="center" vertical="center" wrapText="1"/>
    </xf>
    <xf numFmtId="3" fontId="10" fillId="2" borderId="24" xfId="0" applyNumberFormat="1" applyFont="1" applyFill="1" applyBorder="1" applyAlignment="1">
      <alignment horizontal="center" vertical="center" wrapText="1"/>
    </xf>
    <xf numFmtId="3" fontId="10" fillId="2" borderId="26" xfId="0" applyNumberFormat="1" applyFont="1" applyFill="1" applyBorder="1" applyAlignment="1">
      <alignment horizontal="center" vertical="center" wrapText="1"/>
    </xf>
    <xf numFmtId="3" fontId="10" fillId="2" borderId="27" xfId="0" applyNumberFormat="1" applyFont="1" applyFill="1" applyBorder="1" applyAlignment="1">
      <alignment horizontal="center" vertical="center" wrapText="1"/>
    </xf>
    <xf numFmtId="3" fontId="10" fillId="2" borderId="46" xfId="0" applyNumberFormat="1" applyFont="1" applyFill="1" applyBorder="1" applyAlignment="1">
      <alignment horizontal="center" vertical="center" wrapText="1"/>
    </xf>
    <xf numFmtId="3" fontId="10" fillId="2" borderId="6" xfId="0" applyNumberFormat="1" applyFont="1" applyFill="1" applyBorder="1" applyAlignment="1">
      <alignment horizontal="center" vertical="center" wrapText="1"/>
    </xf>
    <xf numFmtId="3" fontId="10" fillId="2" borderId="0" xfId="0" applyNumberFormat="1" applyFont="1" applyFill="1" applyBorder="1" applyAlignment="1">
      <alignment horizontal="center" vertical="center" wrapText="1"/>
    </xf>
    <xf numFmtId="3" fontId="10" fillId="2" borderId="60" xfId="0" applyNumberFormat="1" applyFont="1" applyFill="1" applyBorder="1" applyAlignment="1">
      <alignment horizontal="center" vertical="center" wrapText="1"/>
    </xf>
    <xf numFmtId="3" fontId="0" fillId="0" borderId="22" xfId="0" applyNumberFormat="1" applyBorder="1" applyAlignment="1"/>
    <xf numFmtId="3" fontId="0" fillId="0" borderId="50" xfId="0" applyNumberFormat="1" applyBorder="1" applyAlignment="1"/>
    <xf numFmtId="3" fontId="0" fillId="0" borderId="54" xfId="0" applyNumberFormat="1" applyBorder="1" applyAlignment="1"/>
    <xf numFmtId="3" fontId="0" fillId="0" borderId="29" xfId="0" applyNumberFormat="1" applyBorder="1" applyAlignment="1"/>
    <xf numFmtId="3" fontId="0" fillId="0" borderId="31" xfId="0" applyNumberFormat="1" applyBorder="1" applyAlignment="1"/>
    <xf numFmtId="3" fontId="0" fillId="0" borderId="30" xfId="0" applyNumberFormat="1" applyBorder="1" applyAlignment="1"/>
    <xf numFmtId="3" fontId="11" fillId="3" borderId="22" xfId="0" applyNumberFormat="1" applyFont="1" applyFill="1" applyBorder="1" applyAlignment="1">
      <alignment horizontal="left" vertical="center" wrapText="1"/>
    </xf>
    <xf numFmtId="3" fontId="11" fillId="3" borderId="54" xfId="0" applyNumberFormat="1" applyFont="1" applyFill="1" applyBorder="1" applyAlignment="1">
      <alignment horizontal="left" vertical="center" wrapText="1"/>
    </xf>
    <xf numFmtId="3" fontId="11" fillId="3" borderId="19" xfId="0" applyNumberFormat="1" applyFont="1" applyFill="1" applyBorder="1" applyAlignment="1">
      <alignment horizontal="left" vertical="center" wrapText="1"/>
    </xf>
    <xf numFmtId="3" fontId="11" fillId="3" borderId="25" xfId="0" applyNumberFormat="1" applyFont="1" applyFill="1" applyBorder="1" applyAlignment="1">
      <alignment horizontal="left" vertical="center" wrapText="1"/>
    </xf>
    <xf numFmtId="3" fontId="11" fillId="3" borderId="29" xfId="0" applyNumberFormat="1" applyFont="1" applyFill="1" applyBorder="1" applyAlignment="1">
      <alignment horizontal="left" vertical="center" wrapText="1"/>
    </xf>
    <xf numFmtId="3" fontId="11" fillId="3" borderId="30" xfId="0" applyNumberFormat="1" applyFont="1" applyFill="1" applyBorder="1" applyAlignment="1">
      <alignment horizontal="left" vertical="center" wrapText="1"/>
    </xf>
    <xf numFmtId="3" fontId="11" fillId="3" borderId="10" xfId="0" applyNumberFormat="1" applyFont="1" applyFill="1" applyBorder="1" applyAlignment="1">
      <alignment horizontal="left" vertical="center" wrapText="1"/>
    </xf>
    <xf numFmtId="3" fontId="11" fillId="3" borderId="11" xfId="0" applyNumberFormat="1" applyFont="1" applyFill="1" applyBorder="1" applyAlignment="1">
      <alignment horizontal="left" vertical="center" wrapText="1"/>
    </xf>
    <xf numFmtId="3" fontId="11" fillId="3" borderId="45" xfId="0" applyNumberFormat="1" applyFont="1" applyFill="1" applyBorder="1" applyAlignment="1">
      <alignment horizontal="left" vertical="center" wrapText="1"/>
    </xf>
    <xf numFmtId="3" fontId="11" fillId="3" borderId="48" xfId="0" applyNumberFormat="1" applyFont="1" applyFill="1" applyBorder="1" applyAlignment="1">
      <alignment horizontal="left" vertical="center" wrapText="1"/>
    </xf>
    <xf numFmtId="4" fontId="0" fillId="0" borderId="0" xfId="0" applyNumberFormat="1"/>
    <xf numFmtId="10" fontId="0" fillId="0" borderId="0" xfId="45" applyNumberFormat="1" applyFont="1"/>
    <xf numFmtId="4" fontId="12" fillId="0" borderId="9" xfId="45" applyNumberFormat="1" applyFont="1" applyFill="1" applyBorder="1" applyAlignment="1">
      <alignment vertical="center" wrapText="1"/>
    </xf>
    <xf numFmtId="4" fontId="12" fillId="0" borderId="10" xfId="45" applyNumberFormat="1" applyFont="1" applyFill="1" applyBorder="1" applyAlignment="1">
      <alignment vertical="center" wrapText="1"/>
    </xf>
    <xf numFmtId="4" fontId="12" fillId="0" borderId="22" xfId="45" applyNumberFormat="1" applyFont="1" applyFill="1" applyBorder="1" applyAlignment="1">
      <alignment vertical="center" wrapText="1"/>
    </xf>
    <xf numFmtId="4" fontId="12" fillId="0" borderId="50" xfId="45" applyNumberFormat="1" applyFont="1" applyFill="1" applyBorder="1" applyAlignment="1">
      <alignment vertical="center" wrapText="1"/>
    </xf>
    <xf numFmtId="4" fontId="12" fillId="0" borderId="54" xfId="45" applyNumberFormat="1" applyFont="1" applyFill="1" applyBorder="1" applyAlignment="1">
      <alignment vertical="center" wrapText="1"/>
    </xf>
    <xf numFmtId="4" fontId="12" fillId="0" borderId="14" xfId="45" applyNumberFormat="1" applyFont="1" applyFill="1" applyBorder="1" applyAlignment="1">
      <alignment vertical="center" wrapText="1"/>
    </xf>
    <xf numFmtId="4" fontId="12" fillId="0" borderId="15" xfId="45" applyNumberFormat="1" applyFont="1" applyFill="1" applyBorder="1" applyAlignment="1">
      <alignment vertical="center" wrapText="1"/>
    </xf>
    <xf numFmtId="4" fontId="12" fillId="0" borderId="19" xfId="45" applyNumberFormat="1" applyFont="1" applyFill="1" applyBorder="1" applyAlignment="1">
      <alignment vertical="center" wrapText="1"/>
    </xf>
    <xf numFmtId="4" fontId="12" fillId="0" borderId="20" xfId="45" applyNumberFormat="1" applyFont="1" applyFill="1" applyBorder="1" applyAlignment="1">
      <alignment vertical="center" wrapText="1"/>
    </xf>
    <xf numFmtId="4" fontId="12" fillId="0" borderId="25" xfId="45" applyNumberFormat="1" applyFont="1" applyFill="1" applyBorder="1" applyAlignment="1">
      <alignment vertical="center" wrapText="1"/>
    </xf>
    <xf numFmtId="4" fontId="12" fillId="0" borderId="33" xfId="45" applyNumberFormat="1" applyFont="1" applyFill="1" applyBorder="1" applyAlignment="1">
      <alignment vertical="center" wrapText="1"/>
    </xf>
    <xf numFmtId="4" fontId="12" fillId="0" borderId="32" xfId="45" applyNumberFormat="1" applyFont="1" applyFill="1" applyBorder="1" applyAlignment="1">
      <alignment vertical="center" wrapText="1"/>
    </xf>
    <xf numFmtId="4" fontId="12" fillId="0" borderId="29" xfId="45" applyNumberFormat="1" applyFont="1" applyFill="1" applyBorder="1" applyAlignment="1">
      <alignment vertical="center" wrapText="1"/>
    </xf>
    <xf numFmtId="4" fontId="12" fillId="0" borderId="31" xfId="45" applyNumberFormat="1" applyFont="1" applyFill="1" applyBorder="1" applyAlignment="1">
      <alignment vertical="center" wrapText="1"/>
    </xf>
    <xf numFmtId="4" fontId="12" fillId="0" borderId="30" xfId="45" applyNumberFormat="1" applyFont="1" applyFill="1" applyBorder="1" applyAlignment="1">
      <alignment vertical="center" wrapText="1"/>
    </xf>
    <xf numFmtId="4" fontId="12" fillId="0" borderId="12" xfId="45" applyNumberFormat="1" applyFont="1" applyFill="1" applyBorder="1" applyAlignment="1">
      <alignment vertical="center" wrapText="1"/>
    </xf>
    <xf numFmtId="4" fontId="12" fillId="0" borderId="11" xfId="45" applyNumberFormat="1" applyFont="1" applyFill="1" applyBorder="1" applyAlignment="1">
      <alignment vertical="center" wrapText="1"/>
    </xf>
    <xf numFmtId="4" fontId="12" fillId="0" borderId="16" xfId="45" applyNumberFormat="1" applyFont="1" applyFill="1" applyBorder="1" applyAlignment="1">
      <alignment horizontal="left" vertical="center" wrapText="1"/>
    </xf>
    <xf numFmtId="4" fontId="12" fillId="0" borderId="45" xfId="45" applyNumberFormat="1" applyFont="1" applyFill="1" applyBorder="1" applyAlignment="1">
      <alignment horizontal="left" vertical="center" wrapText="1"/>
    </xf>
    <xf numFmtId="4" fontId="12" fillId="0" borderId="48" xfId="45" applyNumberFormat="1" applyFont="1" applyFill="1" applyBorder="1" applyAlignment="1">
      <alignment horizontal="left" vertical="center" wrapText="1"/>
    </xf>
    <xf numFmtId="4" fontId="12" fillId="0" borderId="16" xfId="45" applyNumberFormat="1" applyFont="1" applyFill="1" applyBorder="1" applyAlignment="1">
      <alignment vertical="center" wrapText="1"/>
    </xf>
    <xf numFmtId="4" fontId="12" fillId="0" borderId="45" xfId="45" applyNumberFormat="1" applyFont="1" applyFill="1" applyBorder="1" applyAlignment="1">
      <alignment vertical="center" wrapText="1"/>
    </xf>
    <xf numFmtId="4" fontId="12" fillId="0" borderId="48" xfId="45" applyNumberFormat="1" applyFont="1" applyFill="1" applyBorder="1" applyAlignment="1">
      <alignment vertical="center" wrapText="1"/>
    </xf>
    <xf numFmtId="4" fontId="12" fillId="0" borderId="55" xfId="45" applyNumberFormat="1" applyFont="1" applyFill="1" applyBorder="1" applyAlignment="1">
      <alignment vertical="center" wrapText="1"/>
    </xf>
    <xf numFmtId="4" fontId="12" fillId="0" borderId="57" xfId="45" applyNumberFormat="1" applyFont="1" applyFill="1" applyBorder="1" applyAlignment="1">
      <alignment vertical="center" wrapText="1"/>
    </xf>
    <xf numFmtId="4" fontId="0" fillId="0" borderId="0" xfId="45" applyNumberFormat="1" applyFont="1"/>
    <xf numFmtId="0" fontId="0" fillId="0" borderId="9" xfId="0" applyBorder="1"/>
    <xf numFmtId="14" fontId="0" fillId="0" borderId="11" xfId="0" applyNumberFormat="1" applyBorder="1"/>
    <xf numFmtId="0" fontId="0" fillId="0" borderId="82" xfId="0" applyBorder="1"/>
    <xf numFmtId="0" fontId="0" fillId="0" borderId="84" xfId="0" applyBorder="1"/>
    <xf numFmtId="169" fontId="0" fillId="0" borderId="84" xfId="0" applyNumberFormat="1" applyBorder="1"/>
    <xf numFmtId="0" fontId="0" fillId="0" borderId="82" xfId="0" applyFill="1" applyBorder="1"/>
    <xf numFmtId="170" fontId="0" fillId="0" borderId="84" xfId="0" applyNumberFormat="1" applyBorder="1"/>
    <xf numFmtId="14" fontId="0" fillId="0" borderId="84" xfId="0" applyNumberFormat="1" applyBorder="1"/>
    <xf numFmtId="0" fontId="0" fillId="0" borderId="85" xfId="0" applyFill="1" applyBorder="1"/>
    <xf numFmtId="14" fontId="0" fillId="0" borderId="86" xfId="0" applyNumberFormat="1" applyBorder="1"/>
  </cellXfs>
  <cellStyles count="46">
    <cellStyle name="20% - Ênfase1" xfId="22" builtinId="30" customBuiltin="1"/>
    <cellStyle name="20% - Ênfase2" xfId="26" builtinId="34" customBuiltin="1"/>
    <cellStyle name="20% - Ênfase3" xfId="30" builtinId="38" customBuiltin="1"/>
    <cellStyle name="20% - Ênfase4" xfId="34" builtinId="42" customBuiltin="1"/>
    <cellStyle name="20% - Ênfase5" xfId="38" builtinId="46" customBuiltin="1"/>
    <cellStyle name="20% - Ênfase6" xfId="42" builtinId="50" customBuiltin="1"/>
    <cellStyle name="40% - Ênfase1" xfId="23" builtinId="31" customBuiltin="1"/>
    <cellStyle name="40% - Ênfase2" xfId="27" builtinId="35" customBuiltin="1"/>
    <cellStyle name="40% - Ênfase3" xfId="31" builtinId="39" customBuiltin="1"/>
    <cellStyle name="40% - Ênfase4" xfId="35" builtinId="43" customBuiltin="1"/>
    <cellStyle name="40% - Ênfase5" xfId="39" builtinId="47" customBuiltin="1"/>
    <cellStyle name="40% - Ênfase6" xfId="43" builtinId="51" customBuiltin="1"/>
    <cellStyle name="60% - Ênfase1" xfId="24" builtinId="32" customBuiltin="1"/>
    <cellStyle name="60% - Ênfase2" xfId="28" builtinId="36" customBuiltin="1"/>
    <cellStyle name="60% - Ênfase3" xfId="32" builtinId="40" customBuiltin="1"/>
    <cellStyle name="60% - Ênfase4" xfId="36" builtinId="44" customBuiltin="1"/>
    <cellStyle name="60% - Ênfase5" xfId="40" builtinId="48" customBuiltin="1"/>
    <cellStyle name="60% - Ênfase6" xfId="44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omma 2" xfId="3"/>
    <cellStyle name="Ênfase1" xfId="21" builtinId="29" customBuiltin="1"/>
    <cellStyle name="Ênfase2" xfId="25" builtinId="33" customBuiltin="1"/>
    <cellStyle name="Ênfase3" xfId="29" builtinId="37" customBuiltin="1"/>
    <cellStyle name="Ênfase4" xfId="33" builtinId="41" customBuiltin="1"/>
    <cellStyle name="Ênfase5" xfId="37" builtinId="45" customBuiltin="1"/>
    <cellStyle name="Ênfase6" xfId="41" builtinId="49" customBuiltin="1"/>
    <cellStyle name="Entrada" xfId="12" builtinId="20" customBuiltin="1"/>
    <cellStyle name="Incorreto" xfId="10" builtinId="27" customBuiltin="1"/>
    <cellStyle name="Neutra" xfId="11" builtinId="28" customBuiltin="1"/>
    <cellStyle name="Normal" xfId="0" builtinId="0"/>
    <cellStyle name="Normal 2" xfId="1"/>
    <cellStyle name="Nota" xfId="18" builtinId="10" customBuiltin="1"/>
    <cellStyle name="Percent 2" xfId="2"/>
    <cellStyle name="Porcentagem" xfId="45" builtinId="5"/>
    <cellStyle name="Saída" xfId="13" builtinId="21" customBuiltin="1"/>
    <cellStyle name="Texto de Aviso" xfId="17" builtinId="11" customBuiltin="1"/>
    <cellStyle name="Texto Explicativo" xfId="19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2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1</xdr:rowOff>
    </xdr:from>
    <xdr:to>
      <xdr:col>5</xdr:col>
      <xdr:colOff>361950</xdr:colOff>
      <xdr:row>7</xdr:row>
      <xdr:rowOff>133351</xdr:rowOff>
    </xdr:to>
    <xdr:sp macro="[0]!Main.Main" textlink="">
      <xdr:nvSpPr>
        <xdr:cNvPr id="2" name="Rectangle 1"/>
        <xdr:cNvSpPr/>
      </xdr:nvSpPr>
      <xdr:spPr>
        <a:xfrm>
          <a:off x="657225" y="190501"/>
          <a:ext cx="2752725" cy="14668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Import Data</a:t>
          </a:r>
        </a:p>
      </xdr:txBody>
    </xdr:sp>
    <xdr:clientData/>
  </xdr:twoCellAnchor>
  <xdr:twoCellAnchor>
    <xdr:from>
      <xdr:col>5</xdr:col>
      <xdr:colOff>542925</xdr:colOff>
      <xdr:row>1</xdr:row>
      <xdr:rowOff>1</xdr:rowOff>
    </xdr:from>
    <xdr:to>
      <xdr:col>10</xdr:col>
      <xdr:colOff>247650</xdr:colOff>
      <xdr:row>7</xdr:row>
      <xdr:rowOff>133351</xdr:rowOff>
    </xdr:to>
    <xdr:sp macro="[0]!_xludf.rank" textlink="">
      <xdr:nvSpPr>
        <xdr:cNvPr id="3" name="Rectangle 2"/>
        <xdr:cNvSpPr/>
      </xdr:nvSpPr>
      <xdr:spPr>
        <a:xfrm>
          <a:off x="3590925" y="190501"/>
          <a:ext cx="2752725" cy="14668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Rank</a:t>
          </a:r>
        </a:p>
      </xdr:txBody>
    </xdr:sp>
    <xdr:clientData/>
  </xdr:twoCellAnchor>
  <xdr:twoCellAnchor>
    <xdr:from>
      <xdr:col>1</xdr:col>
      <xdr:colOff>38100</xdr:colOff>
      <xdr:row>8</xdr:row>
      <xdr:rowOff>133351</xdr:rowOff>
    </xdr:from>
    <xdr:to>
      <xdr:col>5</xdr:col>
      <xdr:colOff>352425</xdr:colOff>
      <xdr:row>16</xdr:row>
      <xdr:rowOff>76201</xdr:rowOff>
    </xdr:to>
    <xdr:sp macro="" textlink="">
      <xdr:nvSpPr>
        <xdr:cNvPr id="4" name="Rectangle 3"/>
        <xdr:cNvSpPr/>
      </xdr:nvSpPr>
      <xdr:spPr>
        <a:xfrm>
          <a:off x="647700" y="1847851"/>
          <a:ext cx="2752725" cy="14668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HELP</a:t>
          </a:r>
        </a:p>
      </xdr:txBody>
    </xdr:sp>
    <xdr:clientData/>
  </xdr:twoCellAnchor>
  <xdr:twoCellAnchor>
    <xdr:from>
      <xdr:col>10</xdr:col>
      <xdr:colOff>447675</xdr:colOff>
      <xdr:row>1</xdr:row>
      <xdr:rowOff>1</xdr:rowOff>
    </xdr:from>
    <xdr:to>
      <xdr:col>15</xdr:col>
      <xdr:colOff>152400</xdr:colOff>
      <xdr:row>7</xdr:row>
      <xdr:rowOff>133351</xdr:rowOff>
    </xdr:to>
    <xdr:sp macro="[0]!format" textlink="">
      <xdr:nvSpPr>
        <xdr:cNvPr id="5" name="Rectangle 4"/>
        <xdr:cNvSpPr/>
      </xdr:nvSpPr>
      <xdr:spPr>
        <a:xfrm>
          <a:off x="6543675" y="190501"/>
          <a:ext cx="2752725" cy="14668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Format</a:t>
          </a:r>
        </a:p>
      </xdr:txBody>
    </xdr:sp>
    <xdr:clientData/>
  </xdr:twoCellAnchor>
  <xdr:twoCellAnchor>
    <xdr:from>
      <xdr:col>15</xdr:col>
      <xdr:colOff>304800</xdr:colOff>
      <xdr:row>1</xdr:row>
      <xdr:rowOff>1</xdr:rowOff>
    </xdr:from>
    <xdr:to>
      <xdr:col>20</xdr:col>
      <xdr:colOff>9525</xdr:colOff>
      <xdr:row>7</xdr:row>
      <xdr:rowOff>133351</xdr:rowOff>
    </xdr:to>
    <xdr:sp macro="[0]!generate_pdf" textlink="">
      <xdr:nvSpPr>
        <xdr:cNvPr id="6" name="Rectangle 5"/>
        <xdr:cNvSpPr/>
      </xdr:nvSpPr>
      <xdr:spPr>
        <a:xfrm>
          <a:off x="9411119" y="198875"/>
          <a:ext cx="2740164" cy="1284723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Generate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1226</xdr:col>
      <xdr:colOff>408216</xdr:colOff>
      <xdr:row>5856</xdr:row>
      <xdr:rowOff>13606</xdr:rowOff>
    </xdr:from>
    <xdr:to>
      <xdr:col>1229</xdr:col>
      <xdr:colOff>152402</xdr:colOff>
      <xdr:row>5861</xdr:row>
      <xdr:rowOff>153760</xdr:rowOff>
    </xdr:to>
    <xdr:sp macro="[0]!Rotina_rank.rank" textlink="">
      <xdr:nvSpPr>
        <xdr:cNvPr id="2" name="Retângulo 1"/>
        <xdr:cNvSpPr/>
      </xdr:nvSpPr>
      <xdr:spPr>
        <a:xfrm>
          <a:off x="16464645" y="217713"/>
          <a:ext cx="1581150" cy="861333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report_generator_55" growShrinkType="overwriteClear" connectionId="5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port_generator_5" growShrinkType="overwriteClear" connectionId="5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report_generator_35" growShrinkType="overwriteClear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report_generator_54" growShrinkType="overwriteClear" connectionId="5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report_generator_33" growShrinkType="overwriteClear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report_generator_23" growShrinkType="overwriteClear" connectionId="1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report_generator_30" growShrinkType="overwriteClear" connectionId="2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report_generator_17" growShrinkType="overwriteClear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report_generator_6" growShrinkType="overwriteClear" connectionId="5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report_generator_43" growShrinkType="overwriteClear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report_generator_46" growShrinkType="overwriteClear" connectionId="4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report_generator" growShrinkType="overwriteClear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report_generator_14" growShrinkType="overwriteClear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report_generator_22" growShrinkType="overwriteClear" connectionId="1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report_generator_18" growShrinkType="overwriteClear" connectionId="1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report_generator_29" growShrinkType="overwriteClear" connectionId="2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report_generator_42" growShrinkType="overwriteClear" connectionId="3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report_generator_37" growShrinkType="overwriteClear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report_generator_13" growShrinkType="overwriteClear" connectionId="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report_generator_32" growShrinkType="overwriteClear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report_generator_53" growShrinkType="overwriteClear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report_generator_1" growShrinkType="overwriteClear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report_generator_45" growShrinkType="overwriteClear" connectionId="4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report_generator_44" growShrinkType="overwriteClear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report_generator_19" growShrinkType="overwriteClear" connectionId="1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report_generator_15" growShrinkType="overwriteClear" connectionId="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report_generator_16" growShrinkType="overwriteClear" connectionId="1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report_generator_10" growShrinkType="overwriteClear" connectionId="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report_generator_39" growShrinkType="overwriteClear" connectionId="3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report_generator_9" growShrinkType="overwriteClear" connectionId="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report_generator_7" growShrinkType="overwriteClear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report_generator_20" growShrinkType="overwriteClear" connectionId="1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report_generator_49" growShrinkType="overwriteClear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report_generator_26" growShrinkType="overwriteClear" connectionId="2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report_generator_57" growShrinkType="overwriteClear" connectionId="5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report_generator_51" growShrinkType="overwriteClear" connectionId="5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report_generator_34" growShrinkType="overwriteClear" connectionId="3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report_generator_38" growShrinkType="overwriteClear" connectionId="3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report_generator_25" growShrinkType="overwriteClear" connectionId="2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report_generator_52" growShrinkType="overwriteClear" connectionId="5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report_generator_56" growShrinkType="overwriteClear" connectionId="5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report_generator_40" growShrinkType="overwriteClear" connectionId="3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report_generator_48" growShrinkType="overwriteClear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:\home\ricardo\Tripda\Modelo_DW\tripda-data-warehouse\report queries\reports\report_generator.csv" growShrinkType="overwriteClear" connectionId="2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report_generator_24" growShrinkType="overwriteClear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report_generator_31" growShrinkType="overwriteClear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report_generator_47" growShrinkType="overwriteClear" connectionId="4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report_generator_50" growShrinkType="overwriteClear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report_generator_21" growShrinkType="overwriteClear" connectionId="1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report_generator_8" growShrinkType="overwriteClear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report_generator_3" growShrinkType="overwriteClear" connectionId="1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report_generator_41" growShrinkType="overwriteClear" connectionId="3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report_generator_2" growShrinkType="overwriteClear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report_generator_27" growShrinkType="overwriteClear" connectionId="2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report_generator_36" growShrinkType="overwriteClear" connectionId="3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report_generator_12" growShrinkType="overwriteClear" connectionId="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report_generator_11" growShrinkType="overwriteClear" connectionId="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report_generator_4" growShrinkType="overwriteClear" connectionId="4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report_generator_28" growShrinkType="overwriteClear" connectionId="2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3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N100"/>
  <sheetViews>
    <sheetView showGridLines="0" zoomScale="91" zoomScaleNormal="91" workbookViewId="0">
      <selection activeCell="B20" sqref="B20"/>
    </sheetView>
  </sheetViews>
  <sheetFormatPr defaultRowHeight="15" x14ac:dyDescent="0.25"/>
  <cols>
    <col min="8" max="8" width="9.140625" customWidth="1"/>
    <col min="22" max="26" width="15.85546875" customWidth="1"/>
    <col min="27" max="27" width="56.140625" customWidth="1"/>
    <col min="28" max="28" width="9.85546875" style="40" customWidth="1"/>
    <col min="29" max="29" width="55" customWidth="1"/>
    <col min="30" max="30" width="9.5703125" customWidth="1"/>
    <col min="33" max="33" width="12" bestFit="1" customWidth="1"/>
  </cols>
  <sheetData>
    <row r="1" spans="1:40" ht="15.75" thickBo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</row>
    <row r="2" spans="1:40" ht="15.75" thickBot="1" x14ac:dyDescent="0.3">
      <c r="V2" s="264" t="s">
        <v>127</v>
      </c>
      <c r="W2" s="265">
        <f ca="1">TODAY()</f>
        <v>42395</v>
      </c>
    </row>
    <row r="3" spans="1:40" x14ac:dyDescent="0.25">
      <c r="V3" s="266" t="s">
        <v>128</v>
      </c>
      <c r="W3" s="268">
        <f ca="1">MONTH(W2)</f>
        <v>1</v>
      </c>
      <c r="AA3" s="128" t="s">
        <v>120</v>
      </c>
      <c r="AB3" s="129"/>
      <c r="AC3" s="134" t="s">
        <v>73</v>
      </c>
      <c r="AD3" s="135"/>
    </row>
    <row r="4" spans="1:40" x14ac:dyDescent="0.25">
      <c r="V4" s="266" t="s">
        <v>129</v>
      </c>
      <c r="W4" s="267">
        <f ca="1">WEEKNUM(W2)</f>
        <v>5</v>
      </c>
      <c r="AA4" s="130" t="s">
        <v>121</v>
      </c>
      <c r="AB4" s="131"/>
      <c r="AC4" s="136">
        <v>4</v>
      </c>
      <c r="AD4" s="137"/>
    </row>
    <row r="5" spans="1:40" x14ac:dyDescent="0.25">
      <c r="V5" s="269" t="s">
        <v>130</v>
      </c>
      <c r="W5" s="270">
        <f ca="1">WEEKDAY(W2 )</f>
        <v>3</v>
      </c>
      <c r="AA5" s="130" t="s">
        <v>122</v>
      </c>
      <c r="AB5" s="131"/>
      <c r="AC5" s="136">
        <v>3</v>
      </c>
      <c r="AD5" s="137"/>
    </row>
    <row r="6" spans="1:40" x14ac:dyDescent="0.25">
      <c r="V6" s="269" t="s">
        <v>131</v>
      </c>
      <c r="W6" s="271">
        <f ca="1">W2-WEEKDAY(W2-2)</f>
        <v>42394</v>
      </c>
      <c r="AA6" s="130" t="s">
        <v>123</v>
      </c>
      <c r="AB6" s="131"/>
      <c r="AC6" s="136">
        <v>6</v>
      </c>
      <c r="AD6" s="137"/>
    </row>
    <row r="7" spans="1:40" ht="15.75" thickBot="1" x14ac:dyDescent="0.3">
      <c r="V7" s="272" t="s">
        <v>132</v>
      </c>
      <c r="W7" s="273">
        <f ca="1">W2+ 6 -WEEKDAY(W2-2)</f>
        <v>42400</v>
      </c>
      <c r="AA7" s="132" t="s">
        <v>124</v>
      </c>
      <c r="AB7" s="133"/>
      <c r="AC7" s="126">
        <v>10</v>
      </c>
      <c r="AD7" s="127"/>
    </row>
    <row r="8" spans="1:40" ht="15.75" thickBot="1" x14ac:dyDescent="0.3"/>
    <row r="9" spans="1:40" ht="15.75" thickBot="1" x14ac:dyDescent="0.3">
      <c r="AA9" s="81" t="s">
        <v>125</v>
      </c>
      <c r="AB9" s="84"/>
      <c r="AC9" s="88" t="s">
        <v>126</v>
      </c>
      <c r="AD9" s="88"/>
    </row>
    <row r="10" spans="1:40" x14ac:dyDescent="0.25">
      <c r="C10" s="40"/>
      <c r="D10" s="40"/>
      <c r="AA10" s="80" t="s">
        <v>68</v>
      </c>
      <c r="AB10" s="85">
        <v>1</v>
      </c>
      <c r="AC10" s="89" t="s">
        <v>5</v>
      </c>
      <c r="AD10" s="89">
        <v>1</v>
      </c>
    </row>
    <row r="11" spans="1:40" x14ac:dyDescent="0.25">
      <c r="C11" s="40"/>
      <c r="D11" s="40"/>
      <c r="AA11" s="82" t="s">
        <v>2</v>
      </c>
      <c r="AB11" s="86">
        <v>1</v>
      </c>
      <c r="AC11" s="90" t="s">
        <v>59</v>
      </c>
      <c r="AD11" s="90">
        <v>1</v>
      </c>
    </row>
    <row r="12" spans="1:40" x14ac:dyDescent="0.25">
      <c r="C12" s="40"/>
      <c r="D12" s="40"/>
      <c r="Z12" s="40"/>
      <c r="AA12" s="82" t="s">
        <v>69</v>
      </c>
      <c r="AB12" s="86">
        <v>1</v>
      </c>
      <c r="AC12" s="90" t="s">
        <v>6</v>
      </c>
      <c r="AD12" s="90">
        <v>1</v>
      </c>
    </row>
    <row r="13" spans="1:40" x14ac:dyDescent="0.25">
      <c r="C13" s="40"/>
      <c r="D13" s="40"/>
      <c r="X13" s="40"/>
      <c r="Z13" s="40"/>
      <c r="AA13" s="82" t="s">
        <v>70</v>
      </c>
      <c r="AB13" s="86">
        <v>1</v>
      </c>
      <c r="AC13" s="90" t="s">
        <v>60</v>
      </c>
      <c r="AD13" s="90">
        <v>1</v>
      </c>
    </row>
    <row r="14" spans="1:40" x14ac:dyDescent="0.25">
      <c r="C14" s="40"/>
      <c r="D14" s="40"/>
      <c r="X14" s="40"/>
      <c r="Y14" s="40"/>
      <c r="Z14" s="40"/>
      <c r="AA14" s="82" t="s">
        <v>71</v>
      </c>
      <c r="AB14" s="86">
        <v>1</v>
      </c>
      <c r="AC14" s="90" t="s">
        <v>7</v>
      </c>
      <c r="AD14" s="90">
        <v>2</v>
      </c>
    </row>
    <row r="15" spans="1:40" x14ac:dyDescent="0.25">
      <c r="C15" s="40"/>
      <c r="D15" s="40"/>
      <c r="F15" s="40"/>
      <c r="X15" s="40"/>
      <c r="Y15" s="40"/>
      <c r="Z15" s="40"/>
      <c r="AA15" s="82" t="s">
        <v>4</v>
      </c>
      <c r="AB15" s="86">
        <v>1</v>
      </c>
      <c r="AC15" s="90" t="s">
        <v>8</v>
      </c>
      <c r="AD15" s="90">
        <v>3</v>
      </c>
    </row>
    <row r="16" spans="1:40" x14ac:dyDescent="0.25">
      <c r="C16" s="40"/>
      <c r="D16" s="40"/>
      <c r="E16" s="40"/>
      <c r="F16" s="40"/>
      <c r="X16" s="40"/>
      <c r="Y16" s="40"/>
      <c r="Z16" s="40"/>
      <c r="AA16" s="82"/>
      <c r="AB16" s="86"/>
      <c r="AC16" s="90" t="s">
        <v>72</v>
      </c>
      <c r="AD16" s="90">
        <v>2</v>
      </c>
    </row>
    <row r="17" spans="3:33" x14ac:dyDescent="0.25">
      <c r="C17" s="40"/>
      <c r="D17" s="40"/>
      <c r="E17" s="40"/>
      <c r="F17" s="40"/>
      <c r="G17" s="40"/>
      <c r="X17" s="40"/>
      <c r="Y17" s="40"/>
      <c r="Z17" s="40"/>
      <c r="AA17" s="82"/>
      <c r="AB17" s="86"/>
      <c r="AC17" s="90" t="s">
        <v>9</v>
      </c>
      <c r="AD17" s="90">
        <v>3</v>
      </c>
    </row>
    <row r="18" spans="3:33" x14ac:dyDescent="0.25">
      <c r="C18" s="40"/>
      <c r="D18" s="40"/>
      <c r="E18" s="40"/>
      <c r="F18" s="40"/>
      <c r="G18" s="40"/>
      <c r="X18" s="40"/>
      <c r="Y18" s="40"/>
      <c r="Z18" s="40"/>
      <c r="AA18" s="82"/>
      <c r="AB18" s="86"/>
      <c r="AC18" s="90" t="s">
        <v>10</v>
      </c>
      <c r="AD18" s="90">
        <v>3</v>
      </c>
    </row>
    <row r="19" spans="3:33" x14ac:dyDescent="0.25">
      <c r="C19" s="40"/>
      <c r="D19" s="40"/>
      <c r="E19" s="40"/>
      <c r="F19" s="40"/>
      <c r="G19" s="40"/>
      <c r="X19" s="40"/>
      <c r="Y19" s="40"/>
      <c r="Z19" s="40"/>
      <c r="AA19" s="82"/>
      <c r="AB19" s="86"/>
      <c r="AC19" s="90" t="s">
        <v>58</v>
      </c>
      <c r="AD19" s="90">
        <v>2</v>
      </c>
      <c r="AG19" s="92"/>
    </row>
    <row r="20" spans="3:33" x14ac:dyDescent="0.25">
      <c r="C20" s="40"/>
      <c r="D20" s="40"/>
      <c r="E20" s="40"/>
      <c r="F20" s="40"/>
      <c r="G20" s="40"/>
      <c r="T20" s="40"/>
      <c r="X20" s="40"/>
      <c r="Y20" s="40"/>
      <c r="Z20" s="40"/>
      <c r="AA20" s="82"/>
      <c r="AB20" s="86"/>
      <c r="AC20" s="90"/>
      <c r="AD20" s="90"/>
    </row>
    <row r="21" spans="3:33" x14ac:dyDescent="0.25">
      <c r="C21" s="40"/>
      <c r="D21" s="40"/>
      <c r="E21" s="40"/>
      <c r="F21" s="40"/>
      <c r="G21" s="40"/>
      <c r="T21" s="40"/>
      <c r="X21" s="40"/>
      <c r="Y21" s="40"/>
      <c r="Z21" s="40"/>
      <c r="AA21" s="82"/>
      <c r="AB21" s="86"/>
      <c r="AC21" s="90"/>
      <c r="AD21" s="90"/>
    </row>
    <row r="22" spans="3:33" x14ac:dyDescent="0.25">
      <c r="C22" s="40"/>
      <c r="D22" s="40"/>
      <c r="E22" s="40"/>
      <c r="F22" s="40"/>
      <c r="G22" s="40"/>
      <c r="T22" s="40"/>
      <c r="X22" s="40"/>
      <c r="Y22" s="40"/>
      <c r="Z22" s="40"/>
      <c r="AA22" s="82"/>
      <c r="AB22" s="86"/>
      <c r="AC22" s="90"/>
      <c r="AD22" s="90"/>
    </row>
    <row r="23" spans="3:33" x14ac:dyDescent="0.25">
      <c r="C23" s="40"/>
      <c r="D23" s="40"/>
      <c r="E23" s="40"/>
      <c r="F23" s="40"/>
      <c r="G23" s="40"/>
      <c r="T23" s="40"/>
      <c r="X23" s="40"/>
      <c r="Y23" s="40"/>
      <c r="Z23" s="40"/>
      <c r="AA23" s="82"/>
      <c r="AB23" s="86"/>
      <c r="AC23" s="90"/>
      <c r="AD23" s="90"/>
      <c r="AG23" s="92"/>
    </row>
    <row r="24" spans="3:33" x14ac:dyDescent="0.25">
      <c r="C24" s="40"/>
      <c r="D24" s="40"/>
      <c r="E24" s="40"/>
      <c r="F24" s="40"/>
      <c r="G24" s="40"/>
      <c r="T24" s="40"/>
      <c r="X24" s="40"/>
      <c r="Y24" s="40"/>
      <c r="Z24" s="40"/>
      <c r="AA24" s="82"/>
      <c r="AB24" s="86"/>
      <c r="AC24" s="90"/>
      <c r="AD24" s="90"/>
    </row>
    <row r="25" spans="3:33" x14ac:dyDescent="0.25">
      <c r="C25" s="40"/>
      <c r="D25" s="40"/>
      <c r="E25" s="40"/>
      <c r="F25" s="40"/>
      <c r="G25" s="40"/>
      <c r="T25" s="40"/>
      <c r="X25" s="40"/>
      <c r="Y25" s="40"/>
      <c r="Z25" s="40"/>
      <c r="AA25" s="82"/>
      <c r="AB25" s="86"/>
      <c r="AC25" s="90"/>
      <c r="AD25" s="90"/>
    </row>
    <row r="26" spans="3:33" x14ac:dyDescent="0.25">
      <c r="C26" s="40"/>
      <c r="E26" s="40"/>
      <c r="F26" s="40"/>
      <c r="G26" s="40"/>
      <c r="T26" s="40"/>
      <c r="X26" s="40"/>
      <c r="Y26" s="40"/>
      <c r="Z26" s="40"/>
      <c r="AA26" s="82"/>
      <c r="AB26" s="86"/>
      <c r="AC26" s="90"/>
      <c r="AD26" s="90"/>
    </row>
    <row r="27" spans="3:33" ht="15.75" thickBot="1" x14ac:dyDescent="0.3">
      <c r="C27" s="40"/>
      <c r="E27" s="40"/>
      <c r="F27" s="40"/>
      <c r="G27" s="40"/>
      <c r="T27" s="40"/>
      <c r="X27" s="40"/>
      <c r="Y27" s="40"/>
      <c r="Z27" s="40"/>
      <c r="AA27" s="83"/>
      <c r="AB27" s="87"/>
      <c r="AC27" s="91"/>
      <c r="AD27" s="91"/>
    </row>
    <row r="28" spans="3:33" x14ac:dyDescent="0.25">
      <c r="C28" s="40"/>
      <c r="E28" s="40"/>
      <c r="F28" s="40"/>
      <c r="G28" s="40"/>
      <c r="T28" s="40"/>
      <c r="X28" s="40"/>
      <c r="Y28" s="40"/>
      <c r="AA28" s="40"/>
      <c r="AC28" s="40"/>
    </row>
    <row r="29" spans="3:33" x14ac:dyDescent="0.25">
      <c r="C29" s="40"/>
      <c r="E29" s="40"/>
      <c r="F29" s="40"/>
      <c r="G29" s="40"/>
      <c r="T29" s="40"/>
      <c r="X29" s="40"/>
      <c r="Y29" s="40"/>
      <c r="AA29" s="40"/>
      <c r="AC29" s="40"/>
    </row>
    <row r="30" spans="3:33" x14ac:dyDescent="0.25">
      <c r="C30" s="40"/>
      <c r="E30" s="40"/>
      <c r="F30" s="40"/>
      <c r="G30" s="40"/>
      <c r="T30" s="40"/>
      <c r="X30" s="40"/>
      <c r="Y30" s="40"/>
      <c r="AA30" s="40"/>
      <c r="AC30" s="40"/>
    </row>
    <row r="31" spans="3:33" x14ac:dyDescent="0.25">
      <c r="C31" s="40"/>
      <c r="E31" s="40"/>
      <c r="F31" s="40"/>
      <c r="G31" s="40"/>
      <c r="T31" s="40"/>
      <c r="X31" s="40"/>
      <c r="Y31" s="40"/>
      <c r="AA31" s="40"/>
      <c r="AC31" s="40"/>
    </row>
    <row r="32" spans="3:33" x14ac:dyDescent="0.25">
      <c r="C32" s="40"/>
      <c r="D32" s="40"/>
      <c r="E32" s="40"/>
      <c r="F32" s="40"/>
      <c r="G32" s="40"/>
      <c r="T32" s="40"/>
    </row>
    <row r="33" spans="3:21" x14ac:dyDescent="0.25">
      <c r="C33" s="40"/>
      <c r="D33" s="40"/>
      <c r="E33" s="40"/>
      <c r="F33" s="40"/>
      <c r="G33" s="40"/>
      <c r="T33" s="40"/>
    </row>
    <row r="34" spans="3:21" x14ac:dyDescent="0.25">
      <c r="C34" s="40"/>
      <c r="D34" s="40"/>
      <c r="E34" s="40"/>
      <c r="F34" s="40"/>
      <c r="G34" s="40"/>
      <c r="T34" s="40"/>
    </row>
    <row r="35" spans="3:21" x14ac:dyDescent="0.25">
      <c r="C35" s="40"/>
      <c r="D35" s="40"/>
      <c r="E35" s="40"/>
      <c r="F35" s="40"/>
      <c r="G35" s="40"/>
      <c r="T35" s="40"/>
    </row>
    <row r="36" spans="3:21" x14ac:dyDescent="0.25">
      <c r="C36" s="40"/>
      <c r="D36" s="40"/>
      <c r="E36" s="40"/>
      <c r="F36" s="40"/>
      <c r="G36" s="40"/>
    </row>
    <row r="37" spans="3:21" x14ac:dyDescent="0.25">
      <c r="C37" s="40"/>
      <c r="D37" s="40"/>
      <c r="E37" s="40"/>
      <c r="F37" s="40"/>
      <c r="G37" s="40"/>
    </row>
    <row r="38" spans="3:21" x14ac:dyDescent="0.25">
      <c r="C38" s="40"/>
      <c r="D38" s="40"/>
      <c r="E38" s="40"/>
      <c r="F38" s="40"/>
      <c r="G38" s="40"/>
    </row>
    <row r="39" spans="3:21" x14ac:dyDescent="0.25">
      <c r="C39" s="40"/>
      <c r="D39" s="40"/>
      <c r="E39" s="40"/>
      <c r="F39" s="40"/>
      <c r="G39" s="40"/>
    </row>
    <row r="40" spans="3:21" x14ac:dyDescent="0.25">
      <c r="C40" s="40"/>
      <c r="D40" s="40"/>
      <c r="E40" s="40"/>
      <c r="F40" s="40"/>
      <c r="G40" s="40"/>
    </row>
    <row r="41" spans="3:21" s="40" customFormat="1" x14ac:dyDescent="0.25"/>
    <row r="42" spans="3:21" x14ac:dyDescent="0.25">
      <c r="C42" s="40"/>
      <c r="D42" s="40"/>
      <c r="E42" s="40"/>
      <c r="F42" s="40"/>
      <c r="G42" s="40"/>
    </row>
    <row r="43" spans="3:21" s="40" customFormat="1" x14ac:dyDescent="0.25"/>
    <row r="44" spans="3:21" x14ac:dyDescent="0.25">
      <c r="C44" s="40"/>
      <c r="D44" s="40"/>
      <c r="E44" s="40"/>
      <c r="F44" s="40"/>
      <c r="G44" s="40"/>
      <c r="T44" s="40"/>
      <c r="U44" s="40"/>
    </row>
    <row r="45" spans="3:21" s="40" customFormat="1" x14ac:dyDescent="0.25"/>
    <row r="46" spans="3:21" x14ac:dyDescent="0.25">
      <c r="C46" s="40"/>
      <c r="D46" s="40"/>
      <c r="E46" s="40"/>
      <c r="F46" s="40"/>
      <c r="G46" s="40"/>
      <c r="T46" s="40"/>
      <c r="U46" s="40"/>
    </row>
    <row r="47" spans="3:21" s="40" customFormat="1" x14ac:dyDescent="0.25"/>
    <row r="48" spans="3:21" x14ac:dyDescent="0.25">
      <c r="C48" s="40"/>
      <c r="D48" s="40"/>
      <c r="E48" s="40"/>
      <c r="F48" s="40"/>
      <c r="G48" s="40"/>
      <c r="S48" s="40"/>
      <c r="T48" s="40"/>
      <c r="U48" s="40"/>
    </row>
    <row r="49" spans="3:21" s="40" customFormat="1" x14ac:dyDescent="0.25"/>
    <row r="50" spans="3:21" x14ac:dyDescent="0.25">
      <c r="C50" s="40"/>
      <c r="D50" s="40"/>
      <c r="E50" s="40"/>
      <c r="F50" s="40"/>
      <c r="G50" s="40"/>
      <c r="S50" s="40"/>
      <c r="T50" s="40"/>
      <c r="U50" s="40"/>
    </row>
    <row r="51" spans="3:21" s="40" customFormat="1" x14ac:dyDescent="0.25"/>
    <row r="52" spans="3:21" x14ac:dyDescent="0.25">
      <c r="C52" s="40"/>
      <c r="D52" s="40"/>
      <c r="E52" s="40"/>
      <c r="F52" s="40"/>
      <c r="G52" s="40"/>
      <c r="S52" s="40"/>
      <c r="T52" s="40"/>
      <c r="U52" s="40"/>
    </row>
    <row r="53" spans="3:21" s="40" customFormat="1" x14ac:dyDescent="0.25"/>
    <row r="54" spans="3:21" x14ac:dyDescent="0.25">
      <c r="C54" s="40"/>
      <c r="D54" s="40"/>
      <c r="E54" s="40"/>
      <c r="F54" s="40"/>
      <c r="G54" s="40"/>
      <c r="S54" s="40"/>
      <c r="T54" s="40"/>
      <c r="U54" s="40"/>
    </row>
    <row r="55" spans="3:21" s="40" customFormat="1" x14ac:dyDescent="0.25"/>
    <row r="56" spans="3:21" x14ac:dyDescent="0.25">
      <c r="C56" s="40"/>
      <c r="D56" s="40"/>
      <c r="E56" s="40"/>
      <c r="G56" s="40"/>
      <c r="S56" s="40"/>
      <c r="T56" s="40"/>
      <c r="U56" s="40"/>
    </row>
    <row r="57" spans="3:21" s="40" customFormat="1" x14ac:dyDescent="0.25"/>
    <row r="58" spans="3:21" x14ac:dyDescent="0.25">
      <c r="C58" s="40"/>
      <c r="D58" s="40"/>
      <c r="E58" s="40"/>
      <c r="S58" s="40"/>
      <c r="T58" s="40"/>
      <c r="U58" s="40"/>
    </row>
    <row r="59" spans="3:21" s="40" customFormat="1" x14ac:dyDescent="0.25"/>
    <row r="60" spans="3:21" x14ac:dyDescent="0.25">
      <c r="C60" s="40"/>
      <c r="D60" s="40"/>
      <c r="E60" s="40"/>
      <c r="S60" s="40"/>
      <c r="T60" s="40"/>
      <c r="U60" s="40"/>
    </row>
    <row r="61" spans="3:21" s="40" customFormat="1" x14ac:dyDescent="0.25"/>
    <row r="62" spans="3:21" x14ac:dyDescent="0.25">
      <c r="C62" s="40"/>
      <c r="D62" s="40"/>
      <c r="E62" s="40"/>
      <c r="S62" s="40"/>
      <c r="T62" s="40"/>
      <c r="U62" s="40"/>
    </row>
    <row r="63" spans="3:21" s="40" customFormat="1" x14ac:dyDescent="0.25"/>
    <row r="64" spans="3:21" x14ac:dyDescent="0.25">
      <c r="C64" s="40"/>
      <c r="D64" s="40"/>
      <c r="E64" s="40"/>
      <c r="S64" s="40"/>
      <c r="T64" s="40"/>
      <c r="U64" s="40"/>
    </row>
    <row r="65" spans="3:21" s="40" customFormat="1" x14ac:dyDescent="0.25"/>
    <row r="66" spans="3:21" x14ac:dyDescent="0.25">
      <c r="C66" s="40"/>
      <c r="D66" s="40"/>
      <c r="E66" s="40"/>
      <c r="S66" s="40"/>
      <c r="T66" s="40"/>
      <c r="U66" s="40"/>
    </row>
    <row r="67" spans="3:21" s="40" customFormat="1" x14ac:dyDescent="0.25"/>
    <row r="68" spans="3:21" x14ac:dyDescent="0.25">
      <c r="C68" s="40"/>
      <c r="D68" s="40"/>
      <c r="E68" s="40"/>
      <c r="S68" s="40"/>
      <c r="T68" s="40"/>
      <c r="U68" s="40"/>
    </row>
    <row r="69" spans="3:21" s="40" customFormat="1" x14ac:dyDescent="0.25"/>
    <row r="70" spans="3:21" x14ac:dyDescent="0.25">
      <c r="C70" s="40"/>
      <c r="D70" s="40"/>
      <c r="E70" s="40"/>
      <c r="S70" s="40"/>
      <c r="T70" s="40"/>
      <c r="U70" s="40"/>
    </row>
    <row r="71" spans="3:21" s="40" customFormat="1" x14ac:dyDescent="0.25"/>
    <row r="72" spans="3:21" x14ac:dyDescent="0.25">
      <c r="C72" s="40"/>
      <c r="D72" s="40"/>
      <c r="E72" s="40"/>
      <c r="S72" s="40"/>
      <c r="T72" s="40"/>
      <c r="U72" s="40"/>
    </row>
    <row r="73" spans="3:21" s="40" customFormat="1" x14ac:dyDescent="0.25"/>
    <row r="74" spans="3:21" x14ac:dyDescent="0.25">
      <c r="C74" s="40"/>
      <c r="E74" s="40"/>
      <c r="S74" s="40"/>
      <c r="T74" s="40"/>
      <c r="U74" s="40"/>
    </row>
    <row r="75" spans="3:21" s="40" customFormat="1" x14ac:dyDescent="0.25"/>
    <row r="76" spans="3:21" x14ac:dyDescent="0.25">
      <c r="C76" s="40"/>
      <c r="D76" s="40"/>
      <c r="E76" s="40"/>
      <c r="S76" s="40"/>
      <c r="T76" s="40"/>
      <c r="U76" s="40"/>
    </row>
    <row r="77" spans="3:21" x14ac:dyDescent="0.25">
      <c r="C77" s="40"/>
      <c r="D77" s="40"/>
      <c r="E77" s="40"/>
      <c r="T77" s="40"/>
      <c r="U77" s="40"/>
    </row>
    <row r="78" spans="3:21" x14ac:dyDescent="0.25">
      <c r="C78" s="40"/>
      <c r="D78" s="40"/>
      <c r="E78" s="40"/>
    </row>
    <row r="79" spans="3:21" x14ac:dyDescent="0.25">
      <c r="C79" s="40"/>
      <c r="D79" s="40"/>
      <c r="E79" s="40"/>
    </row>
    <row r="80" spans="3:21" x14ac:dyDescent="0.25">
      <c r="C80" s="40"/>
      <c r="D80" s="40"/>
      <c r="E80" s="40"/>
    </row>
    <row r="81" spans="3:5" x14ac:dyDescent="0.25">
      <c r="C81" s="40"/>
      <c r="D81" s="40"/>
      <c r="E81" s="40"/>
    </row>
    <row r="82" spans="3:5" x14ac:dyDescent="0.25">
      <c r="C82" s="40"/>
      <c r="D82" s="40"/>
      <c r="E82" s="40"/>
    </row>
    <row r="83" spans="3:5" x14ac:dyDescent="0.25">
      <c r="C83" s="40"/>
      <c r="D83" s="40"/>
      <c r="E83" s="40"/>
    </row>
    <row r="84" spans="3:5" x14ac:dyDescent="0.25">
      <c r="C84" s="40"/>
      <c r="D84" s="40"/>
      <c r="E84" s="40"/>
    </row>
    <row r="85" spans="3:5" x14ac:dyDescent="0.25">
      <c r="C85" s="40"/>
      <c r="D85" s="40"/>
      <c r="E85" s="40"/>
    </row>
    <row r="86" spans="3:5" x14ac:dyDescent="0.25">
      <c r="C86" s="40"/>
      <c r="D86" s="40"/>
      <c r="E86" s="40"/>
    </row>
    <row r="87" spans="3:5" x14ac:dyDescent="0.25">
      <c r="C87" s="40"/>
      <c r="D87" s="40"/>
      <c r="E87" s="40"/>
    </row>
    <row r="88" spans="3:5" x14ac:dyDescent="0.25">
      <c r="C88" s="40"/>
      <c r="D88" s="40"/>
      <c r="E88" s="40"/>
    </row>
    <row r="89" spans="3:5" x14ac:dyDescent="0.25">
      <c r="C89" s="40"/>
      <c r="D89" s="40"/>
      <c r="E89" s="40"/>
    </row>
    <row r="90" spans="3:5" x14ac:dyDescent="0.25">
      <c r="C90" s="40"/>
      <c r="D90" s="40"/>
      <c r="E90" s="40"/>
    </row>
    <row r="91" spans="3:5" x14ac:dyDescent="0.25">
      <c r="C91" s="40"/>
      <c r="D91" s="40"/>
      <c r="E91" s="40"/>
    </row>
    <row r="92" spans="3:5" x14ac:dyDescent="0.25">
      <c r="C92" s="40"/>
      <c r="D92" s="40"/>
      <c r="E92" s="40"/>
    </row>
    <row r="93" spans="3:5" x14ac:dyDescent="0.25">
      <c r="C93" s="40"/>
      <c r="D93" s="40"/>
      <c r="E93" s="40"/>
    </row>
    <row r="94" spans="3:5" x14ac:dyDescent="0.25">
      <c r="C94" s="40"/>
      <c r="D94" s="40"/>
      <c r="E94" s="40"/>
    </row>
    <row r="95" spans="3:5" x14ac:dyDescent="0.25">
      <c r="C95" s="40"/>
      <c r="D95" s="40"/>
      <c r="E95" s="40"/>
    </row>
    <row r="96" spans="3:5" x14ac:dyDescent="0.25">
      <c r="C96" s="40"/>
      <c r="D96" s="40"/>
      <c r="E96" s="40"/>
    </row>
    <row r="97" spans="3:5" x14ac:dyDescent="0.25">
      <c r="C97" s="40"/>
      <c r="D97" s="40"/>
      <c r="E97" s="40"/>
    </row>
    <row r="98" spans="3:5" x14ac:dyDescent="0.25">
      <c r="C98" s="40"/>
      <c r="D98" s="40"/>
      <c r="E98" s="40"/>
    </row>
    <row r="99" spans="3:5" x14ac:dyDescent="0.25">
      <c r="C99" s="40"/>
      <c r="D99" s="40"/>
      <c r="E99" s="40"/>
    </row>
    <row r="100" spans="3:5" x14ac:dyDescent="0.25">
      <c r="C100" s="40"/>
      <c r="D100" s="40"/>
      <c r="E100" s="40"/>
    </row>
  </sheetData>
  <mergeCells count="10">
    <mergeCell ref="AC7:AD7"/>
    <mergeCell ref="AA3:AB3"/>
    <mergeCell ref="AA4:AB4"/>
    <mergeCell ref="AA5:AB5"/>
    <mergeCell ref="AA6:AB6"/>
    <mergeCell ref="AA7:AB7"/>
    <mergeCell ref="AC3:AD3"/>
    <mergeCell ref="AC4:AD4"/>
    <mergeCell ref="AC5:AD5"/>
    <mergeCell ref="AC6:A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1:R87"/>
  <sheetViews>
    <sheetView showGridLines="0" zoomScale="70" zoomScaleNormal="70" zoomScalePageLayoutView="70" workbookViewId="0">
      <selection activeCell="N7" sqref="N7"/>
    </sheetView>
  </sheetViews>
  <sheetFormatPr defaultColWidth="9.140625" defaultRowHeight="15" x14ac:dyDescent="0.25"/>
  <cols>
    <col min="1" max="1" width="5.7109375" style="13" customWidth="1"/>
    <col min="2" max="2" width="20" style="13" customWidth="1"/>
    <col min="3" max="3" width="10.28515625" style="13" customWidth="1"/>
    <col min="4" max="4" width="11.85546875" style="13" customWidth="1"/>
    <col min="5" max="6" width="11.5703125" style="13" customWidth="1"/>
    <col min="7" max="16384" width="9.140625" style="13"/>
  </cols>
  <sheetData>
    <row r="1" spans="2:18" ht="15.75" thickBot="1" x14ac:dyDescent="0.3"/>
    <row r="2" spans="2:18" s="14" customFormat="1" ht="40.5" customHeight="1" thickBot="1" x14ac:dyDescent="0.3">
      <c r="B2" s="191"/>
      <c r="C2" s="192"/>
      <c r="D2" s="192"/>
      <c r="E2" s="193"/>
      <c r="F2" s="193"/>
    </row>
    <row r="4" spans="2:18" s="40" customFormat="1" x14ac:dyDescent="0.25"/>
    <row r="5" spans="2:18" ht="15.75" thickBot="1" x14ac:dyDescent="0.3"/>
    <row r="6" spans="2:18" ht="24" thickBot="1" x14ac:dyDescent="0.4">
      <c r="B6" s="15"/>
      <c r="C6" s="194" t="s">
        <v>0</v>
      </c>
      <c r="D6" s="195"/>
      <c r="E6" s="194" t="s">
        <v>1</v>
      </c>
      <c r="F6" s="196"/>
    </row>
    <row r="7" spans="2:18" ht="60" customHeight="1" thickBot="1" x14ac:dyDescent="0.3">
      <c r="B7" s="18"/>
      <c r="C7" s="44"/>
      <c r="D7" s="45"/>
      <c r="E7" s="44"/>
      <c r="F7" s="31"/>
    </row>
    <row r="8" spans="2:18" x14ac:dyDescent="0.25">
      <c r="B8" s="27" t="s">
        <v>119</v>
      </c>
      <c r="C8" s="46"/>
      <c r="D8" s="47"/>
      <c r="E8" s="46"/>
      <c r="F8" s="48"/>
    </row>
    <row r="9" spans="2:18" ht="15.75" thickBot="1" x14ac:dyDescent="0.3">
      <c r="B9" s="28"/>
      <c r="C9" s="51"/>
      <c r="D9" s="25"/>
      <c r="E9" s="34"/>
      <c r="F9" s="38"/>
    </row>
    <row r="10" spans="2:18" x14ac:dyDescent="0.25">
      <c r="B10" s="26"/>
      <c r="C10" s="19"/>
      <c r="D10" s="53"/>
      <c r="E10" s="32"/>
      <c r="F10" s="37"/>
    </row>
    <row r="11" spans="2:18" ht="15.75" thickBot="1" x14ac:dyDescent="0.3">
      <c r="B11" s="24"/>
      <c r="C11" s="52"/>
      <c r="D11" s="25"/>
      <c r="E11" s="52"/>
      <c r="F11" s="36"/>
    </row>
    <row r="13" spans="2:18" ht="15.75" thickBot="1" x14ac:dyDescent="0.3"/>
    <row r="14" spans="2:18" x14ac:dyDescent="0.25">
      <c r="B14" s="197" t="s">
        <v>21</v>
      </c>
      <c r="C14" s="198"/>
      <c r="D14" s="199" t="s">
        <v>22</v>
      </c>
      <c r="E14" s="200"/>
      <c r="F14" s="200"/>
      <c r="G14" s="201"/>
      <c r="H14" s="16"/>
      <c r="I14" s="16"/>
      <c r="J14" s="16"/>
    </row>
    <row r="15" spans="2:18" ht="15.75" thickBot="1" x14ac:dyDescent="0.3">
      <c r="B15" s="170" t="s">
        <v>23</v>
      </c>
      <c r="C15" s="171"/>
      <c r="D15" s="172" t="s">
        <v>24</v>
      </c>
      <c r="E15" s="173"/>
      <c r="F15" s="173"/>
      <c r="G15" s="174"/>
      <c r="H15" s="16"/>
      <c r="I15" s="16"/>
      <c r="J15" s="16"/>
    </row>
    <row r="16" spans="2:18" x14ac:dyDescent="0.25">
      <c r="B16" s="49"/>
      <c r="C16" s="49"/>
      <c r="D16" s="49"/>
      <c r="E16" s="49"/>
      <c r="F16" s="49"/>
      <c r="G16" s="49"/>
      <c r="H16" s="49"/>
      <c r="I16" s="49"/>
      <c r="J16" s="49"/>
      <c r="K16" s="40"/>
      <c r="L16" s="40"/>
      <c r="M16" s="40"/>
      <c r="N16" s="40"/>
      <c r="O16" s="40"/>
      <c r="P16" s="40"/>
      <c r="Q16" s="40"/>
      <c r="R16" s="40"/>
    </row>
    <row r="17" spans="2:18" ht="15.75" thickBot="1" x14ac:dyDescent="0.3"/>
    <row r="18" spans="2:18" ht="27.75" customHeight="1" x14ac:dyDescent="0.25">
      <c r="B18" s="178" t="s">
        <v>21</v>
      </c>
      <c r="C18" s="179"/>
      <c r="D18" s="182" t="s">
        <v>25</v>
      </c>
      <c r="E18" s="183"/>
      <c r="F18" s="184" t="s">
        <v>26</v>
      </c>
      <c r="G18" s="163"/>
      <c r="H18" s="163"/>
      <c r="I18" s="185"/>
      <c r="J18" s="186"/>
      <c r="K18" s="186"/>
      <c r="L18" s="186"/>
      <c r="M18" s="186"/>
      <c r="N18" s="186"/>
      <c r="O18" s="186"/>
      <c r="P18" s="186"/>
      <c r="Q18" s="186"/>
      <c r="R18" s="187"/>
    </row>
    <row r="19" spans="2:18" ht="27.75" customHeight="1" x14ac:dyDescent="0.25">
      <c r="B19" s="140"/>
      <c r="C19" s="180"/>
      <c r="D19" s="149" t="s">
        <v>2</v>
      </c>
      <c r="E19" s="150"/>
      <c r="F19" s="188" t="s">
        <v>27</v>
      </c>
      <c r="G19" s="189"/>
      <c r="H19" s="189"/>
      <c r="I19" s="190"/>
      <c r="J19" s="152"/>
      <c r="K19" s="152"/>
      <c r="L19" s="152"/>
      <c r="M19" s="152"/>
      <c r="N19" s="152"/>
      <c r="O19" s="152"/>
      <c r="P19" s="152"/>
      <c r="Q19" s="152"/>
      <c r="R19" s="153"/>
    </row>
    <row r="20" spans="2:18" ht="27.75" customHeight="1" x14ac:dyDescent="0.25">
      <c r="B20" s="140"/>
      <c r="C20" s="180"/>
      <c r="D20" s="149" t="s">
        <v>3</v>
      </c>
      <c r="E20" s="150"/>
      <c r="F20" s="188" t="s">
        <v>28</v>
      </c>
      <c r="G20" s="189"/>
      <c r="H20" s="189"/>
      <c r="I20" s="190"/>
      <c r="J20" s="152"/>
      <c r="K20" s="152"/>
      <c r="L20" s="152"/>
      <c r="M20" s="152"/>
      <c r="N20" s="152"/>
      <c r="O20" s="152"/>
      <c r="P20" s="152"/>
      <c r="Q20" s="152"/>
      <c r="R20" s="153"/>
    </row>
    <row r="21" spans="2:18" ht="27.75" customHeight="1" x14ac:dyDescent="0.25">
      <c r="B21" s="140"/>
      <c r="C21" s="180"/>
      <c r="D21" s="149" t="s">
        <v>29</v>
      </c>
      <c r="E21" s="150"/>
      <c r="F21" s="188" t="s">
        <v>30</v>
      </c>
      <c r="G21" s="189"/>
      <c r="H21" s="189"/>
      <c r="I21" s="190"/>
      <c r="J21" s="152"/>
      <c r="K21" s="152"/>
      <c r="L21" s="152"/>
      <c r="M21" s="152"/>
      <c r="N21" s="152"/>
      <c r="O21" s="152"/>
      <c r="P21" s="152"/>
      <c r="Q21" s="152"/>
      <c r="R21" s="153"/>
    </row>
    <row r="22" spans="2:18" ht="33" customHeight="1" x14ac:dyDescent="0.25">
      <c r="B22" s="140"/>
      <c r="C22" s="180"/>
      <c r="D22" s="149" t="s">
        <v>31</v>
      </c>
      <c r="E22" s="150"/>
      <c r="F22" s="188" t="s">
        <v>32</v>
      </c>
      <c r="G22" s="189"/>
      <c r="H22" s="189"/>
      <c r="I22" s="190"/>
      <c r="J22" s="152"/>
      <c r="K22" s="152"/>
      <c r="L22" s="152"/>
      <c r="M22" s="152"/>
      <c r="N22" s="152"/>
      <c r="O22" s="152"/>
      <c r="P22" s="152"/>
      <c r="Q22" s="152"/>
      <c r="R22" s="153"/>
    </row>
    <row r="23" spans="2:18" ht="28.5" customHeight="1" thickBot="1" x14ac:dyDescent="0.3">
      <c r="B23" s="142"/>
      <c r="C23" s="181"/>
      <c r="D23" s="154" t="s">
        <v>4</v>
      </c>
      <c r="E23" s="155"/>
      <c r="F23" s="175" t="s">
        <v>33</v>
      </c>
      <c r="G23" s="176"/>
      <c r="H23" s="176"/>
      <c r="I23" s="177"/>
      <c r="J23" s="157"/>
      <c r="K23" s="157"/>
      <c r="L23" s="157"/>
      <c r="M23" s="157"/>
      <c r="N23" s="157"/>
      <c r="O23" s="157"/>
      <c r="P23" s="157"/>
      <c r="Q23" s="157"/>
      <c r="R23" s="158"/>
    </row>
    <row r="24" spans="2:18" ht="27.75" customHeight="1" x14ac:dyDescent="0.25">
      <c r="B24" s="138" t="s">
        <v>23</v>
      </c>
      <c r="C24" s="139"/>
      <c r="D24" s="168" t="s">
        <v>5</v>
      </c>
      <c r="E24" s="169"/>
      <c r="F24" s="162" t="s">
        <v>34</v>
      </c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4"/>
    </row>
    <row r="25" spans="2:18" ht="27.75" customHeight="1" x14ac:dyDescent="0.25">
      <c r="B25" s="140"/>
      <c r="C25" s="141"/>
      <c r="D25" s="144" t="s">
        <v>59</v>
      </c>
      <c r="E25" s="145"/>
      <c r="F25" s="159" t="s">
        <v>62</v>
      </c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1"/>
    </row>
    <row r="26" spans="2:18" ht="27.75" customHeight="1" x14ac:dyDescent="0.25">
      <c r="B26" s="140"/>
      <c r="C26" s="141"/>
      <c r="D26" s="144" t="s">
        <v>6</v>
      </c>
      <c r="E26" s="145"/>
      <c r="F26" s="146" t="s">
        <v>63</v>
      </c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8"/>
    </row>
    <row r="27" spans="2:18" ht="27.75" customHeight="1" x14ac:dyDescent="0.25">
      <c r="B27" s="140"/>
      <c r="C27" s="141"/>
      <c r="D27" s="149" t="s">
        <v>60</v>
      </c>
      <c r="E27" s="150"/>
      <c r="F27" s="165" t="s">
        <v>64</v>
      </c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7"/>
    </row>
    <row r="28" spans="2:18" ht="27.75" customHeight="1" x14ac:dyDescent="0.25">
      <c r="B28" s="140"/>
      <c r="C28" s="141"/>
      <c r="D28" s="144" t="s">
        <v>7</v>
      </c>
      <c r="E28" s="145"/>
      <c r="F28" s="146" t="s">
        <v>35</v>
      </c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8"/>
    </row>
    <row r="29" spans="2:18" ht="45" customHeight="1" x14ac:dyDescent="0.25">
      <c r="B29" s="140"/>
      <c r="C29" s="141"/>
      <c r="D29" s="144" t="s">
        <v>8</v>
      </c>
      <c r="E29" s="145"/>
      <c r="F29" s="146" t="s">
        <v>36</v>
      </c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8"/>
    </row>
    <row r="30" spans="2:18" ht="48" customHeight="1" x14ac:dyDescent="0.25">
      <c r="B30" s="140"/>
      <c r="C30" s="141"/>
      <c r="D30" s="144" t="s">
        <v>37</v>
      </c>
      <c r="E30" s="145"/>
      <c r="F30" s="146" t="s">
        <v>38</v>
      </c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8"/>
    </row>
    <row r="31" spans="2:18" ht="27.75" customHeight="1" x14ac:dyDescent="0.25">
      <c r="B31" s="140"/>
      <c r="C31" s="141"/>
      <c r="D31" s="144" t="s">
        <v>39</v>
      </c>
      <c r="E31" s="145"/>
      <c r="F31" s="146" t="s">
        <v>40</v>
      </c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8"/>
    </row>
    <row r="32" spans="2:18" ht="40.5" customHeight="1" x14ac:dyDescent="0.25">
      <c r="B32" s="140"/>
      <c r="C32" s="141"/>
      <c r="D32" s="144" t="s">
        <v>9</v>
      </c>
      <c r="E32" s="145"/>
      <c r="F32" s="146" t="s">
        <v>41</v>
      </c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8"/>
    </row>
    <row r="33" spans="2:18" ht="27" customHeight="1" x14ac:dyDescent="0.25">
      <c r="B33" s="140"/>
      <c r="C33" s="141"/>
      <c r="D33" s="144" t="s">
        <v>10</v>
      </c>
      <c r="E33" s="145"/>
      <c r="F33" s="146" t="s">
        <v>42</v>
      </c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8"/>
    </row>
    <row r="34" spans="2:18" ht="27" customHeight="1" x14ac:dyDescent="0.25">
      <c r="B34" s="140"/>
      <c r="C34" s="141"/>
      <c r="D34" s="149" t="s">
        <v>65</v>
      </c>
      <c r="E34" s="150"/>
      <c r="F34" s="151" t="s">
        <v>66</v>
      </c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3"/>
    </row>
    <row r="35" spans="2:18" ht="30" customHeight="1" thickBot="1" x14ac:dyDescent="0.3">
      <c r="B35" s="142"/>
      <c r="C35" s="143"/>
      <c r="D35" s="154" t="s">
        <v>58</v>
      </c>
      <c r="E35" s="155"/>
      <c r="F35" s="156" t="s">
        <v>67</v>
      </c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8"/>
    </row>
    <row r="37" spans="2:18" ht="16.5" customHeight="1" x14ac:dyDescent="0.25"/>
    <row r="41" spans="2:18" ht="16.5" customHeight="1" x14ac:dyDescent="0.25"/>
    <row r="68" spans="2:6" ht="30" customHeight="1" x14ac:dyDescent="0.25"/>
    <row r="73" spans="2:6" s="17" customFormat="1" ht="27.75" customHeight="1" x14ac:dyDescent="0.25">
      <c r="B73" s="13"/>
      <c r="C73" s="13"/>
      <c r="D73" s="13"/>
      <c r="E73" s="13"/>
      <c r="F73" s="13"/>
    </row>
    <row r="74" spans="2:6" s="17" customFormat="1" ht="27.75" customHeight="1" x14ac:dyDescent="0.25">
      <c r="B74" s="13"/>
      <c r="C74" s="13"/>
      <c r="D74" s="13"/>
      <c r="E74" s="13"/>
      <c r="F74" s="13"/>
    </row>
    <row r="75" spans="2:6" s="17" customFormat="1" ht="27.75" customHeight="1" x14ac:dyDescent="0.25">
      <c r="B75" s="13"/>
      <c r="C75" s="13"/>
      <c r="D75" s="13"/>
      <c r="E75" s="13"/>
      <c r="F75" s="13"/>
    </row>
    <row r="76" spans="2:6" s="17" customFormat="1" ht="27.75" customHeight="1" x14ac:dyDescent="0.25">
      <c r="B76" s="13"/>
      <c r="C76" s="13"/>
      <c r="D76" s="13"/>
      <c r="E76" s="13"/>
      <c r="F76" s="13"/>
    </row>
    <row r="77" spans="2:6" s="17" customFormat="1" ht="27.75" customHeight="1" x14ac:dyDescent="0.25">
      <c r="B77" s="13"/>
      <c r="C77" s="13"/>
      <c r="D77" s="13"/>
      <c r="E77" s="13"/>
      <c r="F77" s="13"/>
    </row>
    <row r="78" spans="2:6" s="17" customFormat="1" ht="27.75" customHeight="1" x14ac:dyDescent="0.25">
      <c r="B78" s="13"/>
      <c r="C78" s="13"/>
      <c r="D78" s="13"/>
      <c r="E78" s="13"/>
      <c r="F78" s="13"/>
    </row>
    <row r="79" spans="2:6" s="17" customFormat="1" ht="27.75" customHeight="1" x14ac:dyDescent="0.25">
      <c r="B79" s="13"/>
      <c r="C79" s="13"/>
      <c r="D79" s="13"/>
      <c r="E79" s="13"/>
      <c r="F79" s="13"/>
    </row>
    <row r="80" spans="2:6" s="17" customFormat="1" ht="27.75" customHeight="1" x14ac:dyDescent="0.25">
      <c r="B80" s="13"/>
      <c r="C80" s="13"/>
      <c r="D80" s="13"/>
      <c r="E80" s="13"/>
      <c r="F80" s="13"/>
    </row>
    <row r="81" spans="2:6" s="17" customFormat="1" ht="27.75" customHeight="1" x14ac:dyDescent="0.25">
      <c r="B81" s="13"/>
      <c r="C81" s="13"/>
      <c r="D81" s="13"/>
      <c r="E81" s="13"/>
      <c r="F81" s="13"/>
    </row>
    <row r="82" spans="2:6" s="17" customFormat="1" ht="27.75" customHeight="1" x14ac:dyDescent="0.25">
      <c r="B82" s="13"/>
      <c r="C82" s="13"/>
      <c r="D82" s="13"/>
      <c r="E82" s="13"/>
      <c r="F82" s="13"/>
    </row>
    <row r="83" spans="2:6" s="17" customFormat="1" ht="27.75" customHeight="1" x14ac:dyDescent="0.25">
      <c r="B83" s="13"/>
      <c r="C83" s="13"/>
      <c r="D83" s="13"/>
      <c r="E83" s="13"/>
      <c r="F83" s="13"/>
    </row>
    <row r="84" spans="2:6" s="17" customFormat="1" ht="27.75" customHeight="1" x14ac:dyDescent="0.25">
      <c r="B84" s="13"/>
      <c r="C84" s="13"/>
      <c r="D84" s="13"/>
      <c r="E84" s="13"/>
      <c r="F84" s="13"/>
    </row>
    <row r="85" spans="2:6" s="17" customFormat="1" ht="41.25" customHeight="1" x14ac:dyDescent="0.25">
      <c r="B85" s="13"/>
      <c r="C85" s="13"/>
      <c r="D85" s="13"/>
      <c r="E85" s="13"/>
      <c r="F85" s="13"/>
    </row>
    <row r="86" spans="2:6" s="17" customFormat="1" ht="27.75" customHeight="1" x14ac:dyDescent="0.25">
      <c r="B86" s="13"/>
      <c r="C86" s="13"/>
      <c r="D86" s="13"/>
      <c r="E86" s="13"/>
      <c r="F86" s="13"/>
    </row>
    <row r="87" spans="2:6" s="17" customFormat="1" ht="25.5" customHeight="1" x14ac:dyDescent="0.25">
      <c r="B87" s="13"/>
      <c r="C87" s="13"/>
      <c r="D87" s="13"/>
      <c r="E87" s="13"/>
      <c r="F87" s="13"/>
    </row>
  </sheetData>
  <mergeCells count="45">
    <mergeCell ref="B2:F2"/>
    <mergeCell ref="C6:D6"/>
    <mergeCell ref="E6:F6"/>
    <mergeCell ref="B14:C14"/>
    <mergeCell ref="D14:G14"/>
    <mergeCell ref="B15:C15"/>
    <mergeCell ref="D15:G15"/>
    <mergeCell ref="D23:E23"/>
    <mergeCell ref="F23:R23"/>
    <mergeCell ref="B18:C23"/>
    <mergeCell ref="D18:E18"/>
    <mergeCell ref="F18:R18"/>
    <mergeCell ref="D19:E19"/>
    <mergeCell ref="F19:R19"/>
    <mergeCell ref="D20:E20"/>
    <mergeCell ref="F20:R20"/>
    <mergeCell ref="D21:E21"/>
    <mergeCell ref="F21:R21"/>
    <mergeCell ref="D22:E22"/>
    <mergeCell ref="F22:R22"/>
    <mergeCell ref="F24:R24"/>
    <mergeCell ref="F31:R31"/>
    <mergeCell ref="D27:E27"/>
    <mergeCell ref="F27:R27"/>
    <mergeCell ref="D28:E28"/>
    <mergeCell ref="F28:R28"/>
    <mergeCell ref="D29:E29"/>
    <mergeCell ref="F29:R29"/>
    <mergeCell ref="D24:E24"/>
    <mergeCell ref="B24:C35"/>
    <mergeCell ref="D32:E32"/>
    <mergeCell ref="F32:R32"/>
    <mergeCell ref="D33:E33"/>
    <mergeCell ref="F33:R33"/>
    <mergeCell ref="D34:E34"/>
    <mergeCell ref="F34:R34"/>
    <mergeCell ref="D35:E35"/>
    <mergeCell ref="F35:R35"/>
    <mergeCell ref="D26:E26"/>
    <mergeCell ref="F26:R26"/>
    <mergeCell ref="D25:E25"/>
    <mergeCell ref="F25:R25"/>
    <mergeCell ref="D30:E30"/>
    <mergeCell ref="F30:R30"/>
    <mergeCell ref="D31:E31"/>
  </mergeCells>
  <pageMargins left="0.511811024" right="0.511811024" top="0.78740157499999996" bottom="0.78740157499999996" header="0.31496062000000002" footer="0.31496062000000002"/>
  <pageSetup paperSize="9" scale="3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9"/>
  <sheetViews>
    <sheetView zoomScaleNormal="100" workbookViewId="0">
      <selection activeCell="A2" sqref="A2:A49"/>
    </sheetView>
  </sheetViews>
  <sheetFormatPr defaultRowHeight="15" x14ac:dyDescent="0.25"/>
  <cols>
    <col min="1" max="1" width="19.7109375" bestFit="1" customWidth="1"/>
    <col min="2" max="2" width="11.42578125" bestFit="1" customWidth="1"/>
    <col min="3" max="3" width="16.42578125" bestFit="1" customWidth="1"/>
    <col min="4" max="4" width="10.42578125" bestFit="1" customWidth="1"/>
    <col min="5" max="5" width="11.85546875" bestFit="1" customWidth="1"/>
    <col min="6" max="6" width="15.5703125" bestFit="1" customWidth="1"/>
    <col min="7" max="7" width="16.7109375" bestFit="1" customWidth="1"/>
    <col min="8" max="8" width="13.85546875" bestFit="1" customWidth="1"/>
    <col min="9" max="9" width="9" bestFit="1" customWidth="1"/>
    <col min="10" max="10" width="12.28515625" bestFit="1" customWidth="1"/>
    <col min="11" max="11" width="19.85546875" bestFit="1" customWidth="1"/>
    <col min="12" max="12" width="15.7109375" bestFit="1" customWidth="1"/>
    <col min="13" max="13" width="18" bestFit="1" customWidth="1"/>
    <col min="14" max="14" width="12.140625" bestFit="1" customWidth="1"/>
    <col min="15" max="15" width="17.5703125" bestFit="1" customWidth="1"/>
    <col min="16" max="16" width="16.85546875" bestFit="1" customWidth="1"/>
    <col min="17" max="17" width="18.5703125" bestFit="1" customWidth="1"/>
    <col min="18" max="18" width="16.140625" bestFit="1" customWidth="1"/>
    <col min="19" max="19" width="20.42578125" bestFit="1" customWidth="1"/>
    <col min="20" max="20" width="12.140625" bestFit="1" customWidth="1"/>
    <col min="21" max="21" width="17.5703125" bestFit="1" customWidth="1"/>
    <col min="22" max="22" width="16.85546875" bestFit="1" customWidth="1"/>
    <col min="23" max="23" width="18.5703125" bestFit="1" customWidth="1"/>
    <col min="24" max="24" width="16.140625" bestFit="1" customWidth="1"/>
  </cols>
  <sheetData>
    <row r="1" spans="1:18" x14ac:dyDescent="0.25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L1" t="s">
        <v>108</v>
      </c>
      <c r="M1" t="s">
        <v>109</v>
      </c>
      <c r="N1" t="s">
        <v>110</v>
      </c>
      <c r="O1" t="s">
        <v>111</v>
      </c>
      <c r="P1" t="s">
        <v>112</v>
      </c>
      <c r="Q1" t="s">
        <v>113</v>
      </c>
      <c r="R1" t="s">
        <v>114</v>
      </c>
    </row>
    <row r="2" spans="1:18" x14ac:dyDescent="0.25">
      <c r="A2" t="s">
        <v>61</v>
      </c>
      <c r="B2">
        <v>2015</v>
      </c>
      <c r="C2" t="s">
        <v>115</v>
      </c>
      <c r="D2">
        <v>21781</v>
      </c>
      <c r="E2">
        <v>5954</v>
      </c>
      <c r="F2">
        <v>8426</v>
      </c>
      <c r="G2">
        <v>31727</v>
      </c>
      <c r="H2">
        <v>65127</v>
      </c>
      <c r="I2">
        <v>18384649</v>
      </c>
      <c r="J2">
        <v>24541</v>
      </c>
      <c r="K2">
        <v>14974</v>
      </c>
      <c r="L2">
        <v>73837</v>
      </c>
      <c r="M2">
        <v>26547</v>
      </c>
      <c r="N2">
        <v>3.0087201010600002</v>
      </c>
      <c r="O2">
        <v>28.772583916599999</v>
      </c>
      <c r="P2">
        <v>68.515243035300003</v>
      </c>
      <c r="Q2">
        <v>3.7165435211400002</v>
      </c>
      <c r="R2">
        <v>7.7774276009400003</v>
      </c>
    </row>
    <row r="3" spans="1:18" x14ac:dyDescent="0.25">
      <c r="A3" t="s">
        <v>61</v>
      </c>
      <c r="B3">
        <v>2015</v>
      </c>
      <c r="C3" t="s">
        <v>116</v>
      </c>
      <c r="D3">
        <v>23525</v>
      </c>
      <c r="E3">
        <v>6367</v>
      </c>
      <c r="F3">
        <v>8913</v>
      </c>
      <c r="G3">
        <v>38809</v>
      </c>
      <c r="H3">
        <v>100145</v>
      </c>
      <c r="I3">
        <v>19342450</v>
      </c>
      <c r="J3">
        <v>36840</v>
      </c>
      <c r="K3">
        <v>19536</v>
      </c>
      <c r="L3">
        <v>112117</v>
      </c>
      <c r="M3">
        <v>32377</v>
      </c>
      <c r="N3">
        <v>3.0433496199799999</v>
      </c>
      <c r="O3">
        <v>34.102901153399998</v>
      </c>
      <c r="P3">
        <v>50.849639216200003</v>
      </c>
      <c r="Q3">
        <v>2.55297583225</v>
      </c>
      <c r="R3">
        <v>7.1671787399799998</v>
      </c>
    </row>
    <row r="4" spans="1:18" x14ac:dyDescent="0.25">
      <c r="A4" t="s">
        <v>61</v>
      </c>
      <c r="B4">
        <v>2015</v>
      </c>
      <c r="C4" t="s">
        <v>117</v>
      </c>
      <c r="D4">
        <v>29225</v>
      </c>
      <c r="E4">
        <v>7711</v>
      </c>
      <c r="F4">
        <v>11437</v>
      </c>
      <c r="G4">
        <v>40303</v>
      </c>
      <c r="H4">
        <v>98625</v>
      </c>
      <c r="I4">
        <v>18945336</v>
      </c>
      <c r="J4">
        <v>37083</v>
      </c>
      <c r="K4">
        <v>20591</v>
      </c>
      <c r="L4">
        <v>111871</v>
      </c>
      <c r="M4">
        <v>32823</v>
      </c>
      <c r="N4">
        <v>3.0167731844799999</v>
      </c>
      <c r="O4">
        <v>36.4398368791</v>
      </c>
      <c r="P4">
        <v>52.415496419999997</v>
      </c>
      <c r="Q4">
        <v>2.1669134409700002</v>
      </c>
      <c r="R4">
        <v>8.1513862448799994</v>
      </c>
    </row>
    <row r="5" spans="1:18" x14ac:dyDescent="0.25">
      <c r="A5" t="s">
        <v>61</v>
      </c>
      <c r="B5">
        <v>2015</v>
      </c>
      <c r="C5" t="s">
        <v>118</v>
      </c>
      <c r="D5">
        <v>24621</v>
      </c>
      <c r="E5">
        <v>6839</v>
      </c>
      <c r="F5">
        <v>8542</v>
      </c>
      <c r="G5">
        <v>34018</v>
      </c>
      <c r="H5">
        <v>72144</v>
      </c>
      <c r="I5">
        <v>15557772</v>
      </c>
      <c r="J5">
        <v>28841</v>
      </c>
      <c r="K5">
        <v>15314</v>
      </c>
      <c r="L5">
        <v>87760</v>
      </c>
      <c r="M5">
        <v>23438</v>
      </c>
      <c r="N5">
        <v>3.0428903297400001</v>
      </c>
      <c r="O5">
        <v>36.652348515699998</v>
      </c>
      <c r="P5">
        <v>52.536577028300002</v>
      </c>
      <c r="Q5">
        <v>3.38795838856</v>
      </c>
      <c r="R5">
        <v>6.7638671325899997</v>
      </c>
    </row>
    <row r="6" spans="1:18" x14ac:dyDescent="0.25">
      <c r="A6" t="s">
        <v>15</v>
      </c>
      <c r="B6">
        <v>2015</v>
      </c>
      <c r="C6" t="s">
        <v>115</v>
      </c>
      <c r="D6">
        <v>1074</v>
      </c>
      <c r="E6">
        <v>170</v>
      </c>
      <c r="F6">
        <v>479</v>
      </c>
      <c r="G6">
        <v>776</v>
      </c>
      <c r="H6">
        <v>3139</v>
      </c>
      <c r="I6">
        <v>1089186</v>
      </c>
      <c r="J6">
        <v>1066</v>
      </c>
      <c r="K6">
        <v>403</v>
      </c>
      <c r="L6">
        <v>3559</v>
      </c>
      <c r="M6">
        <v>654</v>
      </c>
      <c r="N6">
        <v>3.3386491557200002</v>
      </c>
      <c r="O6">
        <v>32.342233009700003</v>
      </c>
      <c r="P6">
        <v>120.185164372</v>
      </c>
      <c r="Q6">
        <v>2.18996689585</v>
      </c>
      <c r="R6">
        <v>5.1184110007600001</v>
      </c>
    </row>
    <row r="7" spans="1:18" x14ac:dyDescent="0.25">
      <c r="A7" t="s">
        <v>15</v>
      </c>
      <c r="B7">
        <v>2015</v>
      </c>
      <c r="C7" t="s">
        <v>116</v>
      </c>
      <c r="D7">
        <v>1321</v>
      </c>
      <c r="E7">
        <v>209</v>
      </c>
      <c r="F7">
        <v>456</v>
      </c>
      <c r="G7">
        <v>703</v>
      </c>
      <c r="H7">
        <v>3133</v>
      </c>
      <c r="I7">
        <v>1093919</v>
      </c>
      <c r="J7">
        <v>1368</v>
      </c>
      <c r="K7">
        <v>559</v>
      </c>
      <c r="L7">
        <v>4505</v>
      </c>
      <c r="M7">
        <v>791</v>
      </c>
      <c r="N7">
        <v>3.2931286549699998</v>
      </c>
      <c r="O7">
        <v>27.681100768899999</v>
      </c>
      <c r="P7">
        <v>86.538512763599996</v>
      </c>
      <c r="Q7">
        <v>1.6158723665400001</v>
      </c>
      <c r="R7">
        <v>4.1930865207599997</v>
      </c>
    </row>
    <row r="8" spans="1:18" x14ac:dyDescent="0.25">
      <c r="A8" t="s">
        <v>15</v>
      </c>
      <c r="B8">
        <v>2015</v>
      </c>
      <c r="C8" t="s">
        <v>117</v>
      </c>
      <c r="D8">
        <v>1328</v>
      </c>
      <c r="E8">
        <v>211</v>
      </c>
      <c r="F8">
        <v>398</v>
      </c>
      <c r="G8">
        <v>745</v>
      </c>
      <c r="H8">
        <v>2881</v>
      </c>
      <c r="I8">
        <v>1148981</v>
      </c>
      <c r="J8">
        <v>1519</v>
      </c>
      <c r="K8">
        <v>916</v>
      </c>
      <c r="L8">
        <v>4913</v>
      </c>
      <c r="M8">
        <v>1405</v>
      </c>
      <c r="N8">
        <v>3.2343647136300002</v>
      </c>
      <c r="O8">
        <v>24.7353851164</v>
      </c>
      <c r="P8">
        <v>76.879910441700005</v>
      </c>
      <c r="Q8">
        <v>1.8602029312299999</v>
      </c>
      <c r="R8">
        <v>4.2841037204100001</v>
      </c>
    </row>
    <row r="9" spans="1:18" x14ac:dyDescent="0.25">
      <c r="A9" t="s">
        <v>15</v>
      </c>
      <c r="B9">
        <v>2015</v>
      </c>
      <c r="C9" t="s">
        <v>118</v>
      </c>
      <c r="D9">
        <v>1936</v>
      </c>
      <c r="E9">
        <v>231</v>
      </c>
      <c r="F9">
        <v>514</v>
      </c>
      <c r="G9">
        <v>847</v>
      </c>
      <c r="H9">
        <v>4261</v>
      </c>
      <c r="I9">
        <v>792884</v>
      </c>
      <c r="J9">
        <v>1752</v>
      </c>
      <c r="K9">
        <v>722</v>
      </c>
      <c r="L9">
        <v>6103</v>
      </c>
      <c r="M9">
        <v>883</v>
      </c>
      <c r="N9">
        <v>3.48344748858</v>
      </c>
      <c r="O9">
        <v>31.2243806808</v>
      </c>
      <c r="P9">
        <v>43.439783712900002</v>
      </c>
      <c r="Q9">
        <v>0.60145615701199995</v>
      </c>
      <c r="R9">
        <v>2.5324469768900002</v>
      </c>
    </row>
    <row r="10" spans="1:18" x14ac:dyDescent="0.25">
      <c r="A10" t="s">
        <v>57</v>
      </c>
      <c r="B10">
        <v>2015</v>
      </c>
      <c r="C10" t="s">
        <v>115</v>
      </c>
      <c r="D10">
        <v>4378</v>
      </c>
      <c r="E10">
        <v>1150</v>
      </c>
      <c r="F10">
        <v>1296</v>
      </c>
      <c r="G10">
        <v>7373</v>
      </c>
      <c r="H10">
        <v>9938</v>
      </c>
      <c r="I10">
        <v>4183040</v>
      </c>
      <c r="J10">
        <v>3261</v>
      </c>
      <c r="K10">
        <v>3021</v>
      </c>
      <c r="L10">
        <v>8308</v>
      </c>
      <c r="M10">
        <v>5899</v>
      </c>
      <c r="N10">
        <v>2.54768475928</v>
      </c>
      <c r="O10">
        <v>35.445652173900001</v>
      </c>
      <c r="P10">
        <v>134.70570534399999</v>
      </c>
      <c r="Q10">
        <v>7.9161816065200004</v>
      </c>
      <c r="R10">
        <v>21.3659293752</v>
      </c>
    </row>
    <row r="11" spans="1:18" x14ac:dyDescent="0.25">
      <c r="A11" t="s">
        <v>57</v>
      </c>
      <c r="B11">
        <v>2015</v>
      </c>
      <c r="C11" t="s">
        <v>116</v>
      </c>
      <c r="D11">
        <v>5551</v>
      </c>
      <c r="E11">
        <v>1272</v>
      </c>
      <c r="F11">
        <v>1657</v>
      </c>
      <c r="G11">
        <v>9661</v>
      </c>
      <c r="H11">
        <v>15823</v>
      </c>
      <c r="I11">
        <v>5297095</v>
      </c>
      <c r="J11">
        <v>5384</v>
      </c>
      <c r="K11">
        <v>4749</v>
      </c>
      <c r="L11">
        <v>13998</v>
      </c>
      <c r="M11">
        <v>8697</v>
      </c>
      <c r="N11">
        <v>2.59992570579</v>
      </c>
      <c r="O11">
        <v>38.921419793200002</v>
      </c>
      <c r="P11">
        <v>133.174882126</v>
      </c>
      <c r="Q11">
        <v>6.4322555048599996</v>
      </c>
      <c r="R11">
        <v>18.825629835400001</v>
      </c>
    </row>
    <row r="12" spans="1:18" x14ac:dyDescent="0.25">
      <c r="A12" t="s">
        <v>57</v>
      </c>
      <c r="B12">
        <v>2015</v>
      </c>
      <c r="C12" t="s">
        <v>117</v>
      </c>
      <c r="D12">
        <v>7230</v>
      </c>
      <c r="E12">
        <v>1852</v>
      </c>
      <c r="F12">
        <v>2804</v>
      </c>
      <c r="G12">
        <v>11123</v>
      </c>
      <c r="H12">
        <v>18297</v>
      </c>
      <c r="I12">
        <v>5212608</v>
      </c>
      <c r="J12">
        <v>5625</v>
      </c>
      <c r="K12">
        <v>5157</v>
      </c>
      <c r="L12">
        <v>14736</v>
      </c>
      <c r="M12">
        <v>9808</v>
      </c>
      <c r="N12">
        <v>2.6197333333300001</v>
      </c>
      <c r="O12">
        <v>40.672451193100002</v>
      </c>
      <c r="P12">
        <v>133.92487785</v>
      </c>
      <c r="Q12">
        <v>6.9616519174000002</v>
      </c>
      <c r="R12">
        <v>19.387338325399998</v>
      </c>
    </row>
    <row r="13" spans="1:18" x14ac:dyDescent="0.25">
      <c r="A13" t="s">
        <v>57</v>
      </c>
      <c r="B13">
        <v>2015</v>
      </c>
      <c r="C13" t="s">
        <v>118</v>
      </c>
      <c r="D13">
        <v>4871</v>
      </c>
      <c r="E13">
        <v>1267</v>
      </c>
      <c r="F13">
        <v>1724</v>
      </c>
      <c r="G13">
        <v>8557</v>
      </c>
      <c r="H13">
        <v>14057</v>
      </c>
      <c r="I13">
        <v>4258360</v>
      </c>
      <c r="J13">
        <v>4284</v>
      </c>
      <c r="K13">
        <v>4015</v>
      </c>
      <c r="L13">
        <v>11049</v>
      </c>
      <c r="M13">
        <v>7590</v>
      </c>
      <c r="N13">
        <v>2.5791316526600001</v>
      </c>
      <c r="O13">
        <v>35.756614639799999</v>
      </c>
      <c r="P13">
        <v>128.827495701</v>
      </c>
      <c r="Q13">
        <v>6.5347137637000001</v>
      </c>
      <c r="R13">
        <v>19.835566382500001</v>
      </c>
    </row>
    <row r="14" spans="1:18" x14ac:dyDescent="0.25">
      <c r="A14" t="s">
        <v>14</v>
      </c>
      <c r="B14">
        <v>2015</v>
      </c>
      <c r="C14" t="s">
        <v>115</v>
      </c>
      <c r="D14">
        <v>2043</v>
      </c>
      <c r="E14">
        <v>755</v>
      </c>
      <c r="F14">
        <v>1043</v>
      </c>
      <c r="G14">
        <v>4666</v>
      </c>
      <c r="H14">
        <v>7385</v>
      </c>
      <c r="I14">
        <v>2050078</v>
      </c>
      <c r="J14">
        <v>2730</v>
      </c>
      <c r="K14">
        <v>1613</v>
      </c>
      <c r="L14">
        <v>7391</v>
      </c>
      <c r="M14">
        <v>1755</v>
      </c>
      <c r="N14">
        <v>2.7073260073299998</v>
      </c>
      <c r="O14">
        <v>39.519397799700002</v>
      </c>
      <c r="P14">
        <v>80.7445541875</v>
      </c>
      <c r="Q14">
        <v>7.4014155712800003</v>
      </c>
      <c r="R14">
        <v>13.144590495399999</v>
      </c>
    </row>
    <row r="15" spans="1:18" x14ac:dyDescent="0.25">
      <c r="A15" t="s">
        <v>14</v>
      </c>
      <c r="B15">
        <v>2015</v>
      </c>
      <c r="C15" t="s">
        <v>116</v>
      </c>
      <c r="D15">
        <v>1704</v>
      </c>
      <c r="E15">
        <v>678</v>
      </c>
      <c r="F15">
        <v>725</v>
      </c>
      <c r="G15">
        <v>7378</v>
      </c>
      <c r="H15">
        <v>18605</v>
      </c>
      <c r="I15">
        <v>1919403</v>
      </c>
      <c r="J15">
        <v>6187</v>
      </c>
      <c r="K15">
        <v>2576</v>
      </c>
      <c r="L15">
        <v>18165</v>
      </c>
      <c r="M15">
        <v>2567</v>
      </c>
      <c r="N15">
        <v>2.9359948278600001</v>
      </c>
      <c r="O15">
        <v>52.4588773953</v>
      </c>
      <c r="P15">
        <v>35.232149738499999</v>
      </c>
      <c r="Q15">
        <v>1.9780670288</v>
      </c>
      <c r="R15">
        <v>4.2072358306900002</v>
      </c>
    </row>
    <row r="16" spans="1:18" x14ac:dyDescent="0.25">
      <c r="A16" t="s">
        <v>14</v>
      </c>
      <c r="B16">
        <v>2015</v>
      </c>
      <c r="C16" t="s">
        <v>117</v>
      </c>
      <c r="D16">
        <v>1963</v>
      </c>
      <c r="E16">
        <v>666</v>
      </c>
      <c r="F16">
        <v>938</v>
      </c>
      <c r="G16">
        <v>6787</v>
      </c>
      <c r="H16">
        <v>16479</v>
      </c>
      <c r="I16">
        <v>1906945</v>
      </c>
      <c r="J16">
        <v>5970</v>
      </c>
      <c r="K16">
        <v>2757</v>
      </c>
      <c r="L16">
        <v>17065</v>
      </c>
      <c r="M16">
        <v>2930</v>
      </c>
      <c r="N16">
        <v>2.8584589614699998</v>
      </c>
      <c r="O16">
        <v>52.030678054699997</v>
      </c>
      <c r="P16">
        <v>39.177732200400001</v>
      </c>
      <c r="Q16">
        <v>1.9121503496500001</v>
      </c>
      <c r="R16">
        <v>3.8188374125900002</v>
      </c>
    </row>
    <row r="17" spans="1:18" x14ac:dyDescent="0.25">
      <c r="A17" t="s">
        <v>14</v>
      </c>
      <c r="B17">
        <v>2015</v>
      </c>
      <c r="C17" t="s">
        <v>118</v>
      </c>
      <c r="D17">
        <v>2073</v>
      </c>
      <c r="E17">
        <v>720</v>
      </c>
      <c r="F17">
        <v>870</v>
      </c>
      <c r="G17">
        <v>6574</v>
      </c>
      <c r="H17">
        <v>14892</v>
      </c>
      <c r="I17">
        <v>1755714</v>
      </c>
      <c r="J17">
        <v>5355</v>
      </c>
      <c r="K17">
        <v>2754</v>
      </c>
      <c r="L17">
        <v>14975</v>
      </c>
      <c r="M17">
        <v>3005</v>
      </c>
      <c r="N17">
        <v>2.7964519140999999</v>
      </c>
      <c r="O17">
        <v>53.288884466100001</v>
      </c>
      <c r="P17">
        <v>37.986978297199997</v>
      </c>
      <c r="Q17">
        <v>2.0883385695799999</v>
      </c>
      <c r="R17">
        <v>4.4107681882599996</v>
      </c>
    </row>
    <row r="18" spans="1:18" x14ac:dyDescent="0.25">
      <c r="A18" t="s">
        <v>11</v>
      </c>
      <c r="B18">
        <v>2015</v>
      </c>
      <c r="C18" t="s">
        <v>115</v>
      </c>
      <c r="D18">
        <v>3684</v>
      </c>
      <c r="E18">
        <v>735</v>
      </c>
      <c r="F18">
        <v>929</v>
      </c>
      <c r="G18">
        <v>4678</v>
      </c>
      <c r="H18">
        <v>5537</v>
      </c>
      <c r="I18">
        <v>2250170</v>
      </c>
      <c r="J18">
        <v>2543</v>
      </c>
      <c r="K18">
        <v>1074</v>
      </c>
      <c r="L18">
        <v>7698</v>
      </c>
      <c r="M18">
        <v>1507</v>
      </c>
      <c r="N18">
        <v>3.0271333071200002</v>
      </c>
      <c r="O18">
        <v>47.066444567799998</v>
      </c>
      <c r="P18">
        <v>129.708755521</v>
      </c>
      <c r="Q18">
        <v>6.1771935449399997</v>
      </c>
      <c r="R18">
        <v>9.5009084108199993</v>
      </c>
    </row>
    <row r="19" spans="1:18" x14ac:dyDescent="0.25">
      <c r="A19" t="s">
        <v>11</v>
      </c>
      <c r="B19">
        <v>2015</v>
      </c>
      <c r="C19" t="s">
        <v>116</v>
      </c>
      <c r="D19">
        <v>2401</v>
      </c>
      <c r="E19">
        <v>469</v>
      </c>
      <c r="F19">
        <v>466</v>
      </c>
      <c r="G19">
        <v>4802</v>
      </c>
      <c r="H19">
        <v>14144</v>
      </c>
      <c r="I19">
        <v>1809009</v>
      </c>
      <c r="J19">
        <v>4986</v>
      </c>
      <c r="K19">
        <v>1352</v>
      </c>
      <c r="L19">
        <v>16822</v>
      </c>
      <c r="M19">
        <v>1246</v>
      </c>
      <c r="N19">
        <v>3.3738467709600002</v>
      </c>
      <c r="O19">
        <v>59.279514920899999</v>
      </c>
      <c r="P19">
        <v>55.351206753100001</v>
      </c>
      <c r="Q19">
        <v>1.13785808222</v>
      </c>
      <c r="R19">
        <v>2.10417977014</v>
      </c>
    </row>
    <row r="20" spans="1:18" x14ac:dyDescent="0.25">
      <c r="A20" t="s">
        <v>11</v>
      </c>
      <c r="B20">
        <v>2015</v>
      </c>
      <c r="C20" t="s">
        <v>117</v>
      </c>
      <c r="D20">
        <v>3123</v>
      </c>
      <c r="E20">
        <v>634</v>
      </c>
      <c r="F20">
        <v>840</v>
      </c>
      <c r="G20">
        <v>5514</v>
      </c>
      <c r="H20">
        <v>16285</v>
      </c>
      <c r="I20">
        <v>2068342</v>
      </c>
      <c r="J20">
        <v>5853</v>
      </c>
      <c r="K20">
        <v>2066</v>
      </c>
      <c r="L20">
        <v>19863</v>
      </c>
      <c r="M20">
        <v>2160</v>
      </c>
      <c r="N20">
        <v>3.3936442849800001</v>
      </c>
      <c r="O20">
        <v>57.472505891600001</v>
      </c>
      <c r="P20">
        <v>53.135578714200001</v>
      </c>
      <c r="Q20">
        <v>1.0510582903400001</v>
      </c>
      <c r="R20">
        <v>2.1117593172900002</v>
      </c>
    </row>
    <row r="21" spans="1:18" x14ac:dyDescent="0.25">
      <c r="A21" t="s">
        <v>11</v>
      </c>
      <c r="B21">
        <v>2015</v>
      </c>
      <c r="C21" t="s">
        <v>118</v>
      </c>
      <c r="D21">
        <v>2595</v>
      </c>
      <c r="E21">
        <v>524</v>
      </c>
      <c r="F21">
        <v>651</v>
      </c>
      <c r="G21">
        <v>4330</v>
      </c>
      <c r="H21">
        <v>13014</v>
      </c>
      <c r="I21">
        <v>1602243</v>
      </c>
      <c r="J21">
        <v>4621</v>
      </c>
      <c r="K21">
        <v>1502</v>
      </c>
      <c r="L21">
        <v>16480</v>
      </c>
      <c r="M21">
        <v>1184</v>
      </c>
      <c r="N21">
        <v>3.5663276347099999</v>
      </c>
      <c r="O21">
        <v>56.678523243000001</v>
      </c>
      <c r="P21">
        <v>54.837864077699997</v>
      </c>
      <c r="Q21">
        <v>0.47323277136899999</v>
      </c>
      <c r="R21">
        <v>1.2718130730599999</v>
      </c>
    </row>
    <row r="22" spans="1:18" x14ac:dyDescent="0.25">
      <c r="A22" t="s">
        <v>19</v>
      </c>
      <c r="B22">
        <v>2015</v>
      </c>
      <c r="C22" t="s">
        <v>115</v>
      </c>
      <c r="D22">
        <v>5044</v>
      </c>
      <c r="E22">
        <v>1461</v>
      </c>
      <c r="F22">
        <v>3136</v>
      </c>
      <c r="G22">
        <v>5807</v>
      </c>
      <c r="H22">
        <v>7936</v>
      </c>
      <c r="I22">
        <v>2785995</v>
      </c>
      <c r="J22">
        <v>4250</v>
      </c>
      <c r="K22">
        <v>2816</v>
      </c>
      <c r="L22">
        <v>14541</v>
      </c>
      <c r="M22">
        <v>4566</v>
      </c>
      <c r="N22">
        <v>3.4214117647100002</v>
      </c>
      <c r="O22">
        <v>41.423001949300001</v>
      </c>
      <c r="P22">
        <v>51.856612337500003</v>
      </c>
      <c r="Q22">
        <v>0.60152386044600004</v>
      </c>
      <c r="R22">
        <v>1.55727843871</v>
      </c>
    </row>
    <row r="23" spans="1:18" x14ac:dyDescent="0.25">
      <c r="A23" t="s">
        <v>19</v>
      </c>
      <c r="B23">
        <v>2015</v>
      </c>
      <c r="C23" t="s">
        <v>116</v>
      </c>
      <c r="D23">
        <v>5147</v>
      </c>
      <c r="E23">
        <v>1831</v>
      </c>
      <c r="F23">
        <v>3190</v>
      </c>
      <c r="G23">
        <v>6689</v>
      </c>
      <c r="H23">
        <v>12517</v>
      </c>
      <c r="I23">
        <v>2887122</v>
      </c>
      <c r="J23">
        <v>6740</v>
      </c>
      <c r="K23">
        <v>3349</v>
      </c>
      <c r="L23">
        <v>23964</v>
      </c>
      <c r="M23">
        <v>5294</v>
      </c>
      <c r="N23">
        <v>3.5554896142399999</v>
      </c>
      <c r="O23">
        <v>49.359209080900001</v>
      </c>
      <c r="P23">
        <v>33.4721665832</v>
      </c>
      <c r="Q23">
        <v>0.76548084283499995</v>
      </c>
      <c r="R23">
        <v>2.1111155876100001</v>
      </c>
    </row>
    <row r="24" spans="1:18" x14ac:dyDescent="0.25">
      <c r="A24" t="s">
        <v>19</v>
      </c>
      <c r="B24">
        <v>2015</v>
      </c>
      <c r="C24" t="s">
        <v>117</v>
      </c>
      <c r="D24">
        <v>6329</v>
      </c>
      <c r="E24">
        <v>1986</v>
      </c>
      <c r="F24">
        <v>3838</v>
      </c>
      <c r="G24">
        <v>5900</v>
      </c>
      <c r="H24">
        <v>13227</v>
      </c>
      <c r="I24">
        <v>2956161</v>
      </c>
      <c r="J24">
        <v>6521</v>
      </c>
      <c r="K24">
        <v>3200</v>
      </c>
      <c r="L24">
        <v>23311</v>
      </c>
      <c r="M24">
        <v>4963</v>
      </c>
      <c r="N24">
        <v>3.5747584726300001</v>
      </c>
      <c r="O24">
        <v>43.297257818200002</v>
      </c>
      <c r="P24">
        <v>33.011625412900003</v>
      </c>
      <c r="Q24">
        <v>0.66020391108099996</v>
      </c>
      <c r="R24">
        <v>1.51679759318</v>
      </c>
    </row>
    <row r="25" spans="1:18" x14ac:dyDescent="0.25">
      <c r="A25" t="s">
        <v>19</v>
      </c>
      <c r="B25">
        <v>2015</v>
      </c>
      <c r="C25" t="s">
        <v>118</v>
      </c>
      <c r="D25">
        <v>4626</v>
      </c>
      <c r="E25">
        <v>1908</v>
      </c>
      <c r="F25">
        <v>2226</v>
      </c>
      <c r="G25">
        <v>5577</v>
      </c>
      <c r="H25">
        <v>9351</v>
      </c>
      <c r="I25">
        <v>2496342</v>
      </c>
      <c r="J25">
        <v>5651</v>
      </c>
      <c r="K25">
        <v>2529</v>
      </c>
      <c r="L25">
        <v>19337</v>
      </c>
      <c r="M25">
        <v>3717</v>
      </c>
      <c r="N25">
        <v>3.4218722349999999</v>
      </c>
      <c r="O25">
        <v>36.778392450399998</v>
      </c>
      <c r="P25">
        <v>30.806898691600001</v>
      </c>
      <c r="Q25">
        <v>1.06100795756</v>
      </c>
      <c r="R25">
        <v>1.89179720735</v>
      </c>
    </row>
    <row r="26" spans="1:18" x14ac:dyDescent="0.25">
      <c r="A26" t="s">
        <v>13</v>
      </c>
      <c r="B26">
        <v>2015</v>
      </c>
      <c r="C26" t="s">
        <v>115</v>
      </c>
      <c r="D26">
        <v>1278</v>
      </c>
      <c r="E26">
        <v>414</v>
      </c>
      <c r="F26">
        <v>584</v>
      </c>
      <c r="G26">
        <v>2749</v>
      </c>
      <c r="H26">
        <v>5527</v>
      </c>
      <c r="I26">
        <v>919842</v>
      </c>
      <c r="J26">
        <v>1665</v>
      </c>
      <c r="K26">
        <v>879</v>
      </c>
      <c r="L26">
        <v>5158</v>
      </c>
      <c r="M26">
        <v>1177</v>
      </c>
      <c r="N26">
        <v>3.0978978978999998</v>
      </c>
      <c r="O26">
        <v>36.235038084899998</v>
      </c>
      <c r="P26">
        <v>46.597518418</v>
      </c>
      <c r="Q26">
        <v>2.9791630790400001</v>
      </c>
      <c r="R26">
        <v>5.5278112622700002</v>
      </c>
    </row>
    <row r="27" spans="1:18" x14ac:dyDescent="0.25">
      <c r="A27" t="s">
        <v>13</v>
      </c>
      <c r="B27">
        <v>2015</v>
      </c>
      <c r="C27" t="s">
        <v>116</v>
      </c>
      <c r="D27">
        <v>2150</v>
      </c>
      <c r="E27">
        <v>652</v>
      </c>
      <c r="F27">
        <v>1141</v>
      </c>
      <c r="G27">
        <v>3930</v>
      </c>
      <c r="H27">
        <v>7440</v>
      </c>
      <c r="I27">
        <v>1149127</v>
      </c>
      <c r="J27">
        <v>2563</v>
      </c>
      <c r="K27">
        <v>1445</v>
      </c>
      <c r="L27">
        <v>7138</v>
      </c>
      <c r="M27">
        <v>1840</v>
      </c>
      <c r="N27">
        <v>2.7850175575499998</v>
      </c>
      <c r="O27">
        <v>39.034419737999997</v>
      </c>
      <c r="P27">
        <v>39.176099747800002</v>
      </c>
      <c r="Q27">
        <v>2.3652085452699998</v>
      </c>
      <c r="R27">
        <v>4.2344862665300003</v>
      </c>
    </row>
    <row r="28" spans="1:18" x14ac:dyDescent="0.25">
      <c r="A28" t="s">
        <v>13</v>
      </c>
      <c r="B28">
        <v>2015</v>
      </c>
      <c r="C28" t="s">
        <v>117</v>
      </c>
      <c r="D28">
        <v>3054</v>
      </c>
      <c r="E28">
        <v>815</v>
      </c>
      <c r="F28">
        <v>1410</v>
      </c>
      <c r="G28">
        <v>4375</v>
      </c>
      <c r="H28">
        <v>7769</v>
      </c>
      <c r="I28">
        <v>1080145</v>
      </c>
      <c r="J28">
        <v>2485</v>
      </c>
      <c r="K28">
        <v>1458</v>
      </c>
      <c r="L28">
        <v>7273</v>
      </c>
      <c r="M28">
        <v>2463</v>
      </c>
      <c r="N28">
        <v>2.9267605633799998</v>
      </c>
      <c r="O28">
        <v>40.617848970300003</v>
      </c>
      <c r="P28">
        <v>34.666575003399998</v>
      </c>
      <c r="Q28">
        <v>1.7704593289599999</v>
      </c>
      <c r="R28">
        <v>4.54376624985</v>
      </c>
    </row>
    <row r="29" spans="1:18" x14ac:dyDescent="0.25">
      <c r="A29" t="s">
        <v>13</v>
      </c>
      <c r="B29">
        <v>2015</v>
      </c>
      <c r="C29" t="s">
        <v>118</v>
      </c>
      <c r="D29">
        <v>3686</v>
      </c>
      <c r="E29">
        <v>1158</v>
      </c>
      <c r="F29">
        <v>1716</v>
      </c>
      <c r="G29">
        <v>3947</v>
      </c>
      <c r="H29">
        <v>4806</v>
      </c>
      <c r="I29">
        <v>1115054</v>
      </c>
      <c r="J29">
        <v>1811</v>
      </c>
      <c r="K29">
        <v>1068</v>
      </c>
      <c r="L29">
        <v>4830</v>
      </c>
      <c r="M29">
        <v>2022</v>
      </c>
      <c r="N29">
        <v>2.66703478741</v>
      </c>
      <c r="O29">
        <v>34.1183119819</v>
      </c>
      <c r="P29">
        <v>58.2438923395</v>
      </c>
      <c r="Q29">
        <v>4.1273172437900003</v>
      </c>
      <c r="R29">
        <v>7.97481636936</v>
      </c>
    </row>
    <row r="30" spans="1:18" x14ac:dyDescent="0.25">
      <c r="A30" t="s">
        <v>12</v>
      </c>
      <c r="B30">
        <v>2015</v>
      </c>
      <c r="C30" t="s">
        <v>115</v>
      </c>
      <c r="D30">
        <v>612</v>
      </c>
      <c r="E30">
        <v>234</v>
      </c>
      <c r="F30">
        <v>196</v>
      </c>
      <c r="G30">
        <v>1740</v>
      </c>
      <c r="H30">
        <v>12368</v>
      </c>
      <c r="I30">
        <v>1136888</v>
      </c>
      <c r="J30">
        <v>3815</v>
      </c>
      <c r="K30">
        <v>670</v>
      </c>
      <c r="L30">
        <v>11765</v>
      </c>
      <c r="M30">
        <v>470</v>
      </c>
      <c r="N30">
        <v>3.08387942333</v>
      </c>
      <c r="O30">
        <v>50.893810031999998</v>
      </c>
      <c r="P30">
        <v>30.405099872499999</v>
      </c>
      <c r="Q30">
        <v>2.61111111111</v>
      </c>
      <c r="R30">
        <v>3.6031746031699998</v>
      </c>
    </row>
    <row r="31" spans="1:18" x14ac:dyDescent="0.25">
      <c r="A31" t="s">
        <v>12</v>
      </c>
      <c r="B31">
        <v>2015</v>
      </c>
      <c r="C31" t="s">
        <v>116</v>
      </c>
      <c r="D31">
        <v>768</v>
      </c>
      <c r="E31">
        <v>226</v>
      </c>
      <c r="F31">
        <v>265</v>
      </c>
      <c r="G31">
        <v>1756</v>
      </c>
      <c r="H31">
        <v>12558</v>
      </c>
      <c r="I31">
        <v>1115726</v>
      </c>
      <c r="J31">
        <v>3884</v>
      </c>
      <c r="K31">
        <v>621</v>
      </c>
      <c r="L31">
        <v>11507</v>
      </c>
      <c r="M31">
        <v>567</v>
      </c>
      <c r="N31">
        <v>2.9626673532400001</v>
      </c>
      <c r="O31">
        <v>49.158334388100002</v>
      </c>
      <c r="P31">
        <v>28.281915355900001</v>
      </c>
      <c r="Q31">
        <v>2.8756234414000001</v>
      </c>
      <c r="R31">
        <v>7.0448877805499999</v>
      </c>
    </row>
    <row r="32" spans="1:18" x14ac:dyDescent="0.25">
      <c r="A32" t="s">
        <v>12</v>
      </c>
      <c r="B32">
        <v>2015</v>
      </c>
      <c r="C32" t="s">
        <v>117</v>
      </c>
      <c r="D32">
        <v>988</v>
      </c>
      <c r="E32">
        <v>351</v>
      </c>
      <c r="F32">
        <v>228</v>
      </c>
      <c r="G32">
        <v>1963</v>
      </c>
      <c r="H32">
        <v>8505</v>
      </c>
      <c r="I32">
        <v>1033874</v>
      </c>
      <c r="J32">
        <v>3155</v>
      </c>
      <c r="K32">
        <v>480</v>
      </c>
      <c r="L32">
        <v>8800</v>
      </c>
      <c r="M32">
        <v>412</v>
      </c>
      <c r="N32">
        <v>2.7892234548300001</v>
      </c>
      <c r="O32">
        <v>43.589389334099998</v>
      </c>
      <c r="P32">
        <v>32.429886363599998</v>
      </c>
      <c r="Q32">
        <v>0.555555555556</v>
      </c>
      <c r="R32">
        <v>1.1666666666700001</v>
      </c>
    </row>
    <row r="33" spans="1:18" x14ac:dyDescent="0.25">
      <c r="A33" t="s">
        <v>12</v>
      </c>
      <c r="B33">
        <v>2015</v>
      </c>
      <c r="C33" t="s">
        <v>118</v>
      </c>
      <c r="D33">
        <v>697</v>
      </c>
      <c r="E33">
        <v>203</v>
      </c>
      <c r="F33">
        <v>158</v>
      </c>
      <c r="G33">
        <v>1274</v>
      </c>
      <c r="H33">
        <v>5616</v>
      </c>
      <c r="I33">
        <v>737683</v>
      </c>
      <c r="J33">
        <v>2005</v>
      </c>
      <c r="K33">
        <v>371</v>
      </c>
      <c r="L33">
        <v>5475</v>
      </c>
      <c r="M33">
        <v>283</v>
      </c>
      <c r="N33">
        <v>2.7306733167099999</v>
      </c>
      <c r="O33">
        <v>38.849060259600002</v>
      </c>
      <c r="P33">
        <v>30.763105022800001</v>
      </c>
      <c r="Q33">
        <v>0.85031000885700003</v>
      </c>
      <c r="R33">
        <v>1.89548272808</v>
      </c>
    </row>
    <row r="34" spans="1:18" x14ac:dyDescent="0.25">
      <c r="A34" t="s">
        <v>20</v>
      </c>
      <c r="B34">
        <v>2015</v>
      </c>
      <c r="C34" t="s">
        <v>115</v>
      </c>
      <c r="D34">
        <v>1931</v>
      </c>
      <c r="E34">
        <v>859</v>
      </c>
      <c r="F34">
        <v>740</v>
      </c>
      <c r="G34">
        <v>3237</v>
      </c>
      <c r="H34">
        <v>13237</v>
      </c>
      <c r="I34">
        <v>3099759</v>
      </c>
      <c r="J34">
        <v>5170</v>
      </c>
      <c r="K34">
        <v>4473</v>
      </c>
      <c r="L34">
        <v>15362</v>
      </c>
      <c r="M34">
        <v>10494</v>
      </c>
      <c r="N34">
        <v>2.97137330754</v>
      </c>
      <c r="O34">
        <v>14.4465867494</v>
      </c>
      <c r="P34">
        <v>36.364861346200001</v>
      </c>
      <c r="Q34">
        <v>1.06376399283</v>
      </c>
      <c r="R34">
        <v>3.0923371884500002</v>
      </c>
    </row>
    <row r="35" spans="1:18" x14ac:dyDescent="0.25">
      <c r="A35" t="s">
        <v>20</v>
      </c>
      <c r="B35">
        <v>2015</v>
      </c>
      <c r="C35" t="s">
        <v>116</v>
      </c>
      <c r="D35">
        <v>3002</v>
      </c>
      <c r="E35">
        <v>804</v>
      </c>
      <c r="F35">
        <v>985</v>
      </c>
      <c r="G35">
        <v>3008</v>
      </c>
      <c r="H35">
        <v>15832</v>
      </c>
      <c r="I35">
        <v>3120867</v>
      </c>
      <c r="J35">
        <v>5656</v>
      </c>
      <c r="K35">
        <v>4852</v>
      </c>
      <c r="L35">
        <v>15933</v>
      </c>
      <c r="M35">
        <v>11344</v>
      </c>
      <c r="N35">
        <v>2.8170084865599998</v>
      </c>
      <c r="O35">
        <v>15.029761904800001</v>
      </c>
      <c r="P35">
        <v>28.531098976999999</v>
      </c>
      <c r="Q35">
        <v>2.7585094370099998</v>
      </c>
      <c r="R35">
        <v>11.189976878</v>
      </c>
    </row>
    <row r="36" spans="1:18" x14ac:dyDescent="0.25">
      <c r="A36" t="s">
        <v>20</v>
      </c>
      <c r="B36">
        <v>2015</v>
      </c>
      <c r="C36" t="s">
        <v>117</v>
      </c>
      <c r="D36">
        <v>3444</v>
      </c>
      <c r="E36">
        <v>944</v>
      </c>
      <c r="F36">
        <v>926</v>
      </c>
      <c r="G36">
        <v>2927</v>
      </c>
      <c r="H36">
        <v>15020</v>
      </c>
      <c r="I36">
        <v>2607511</v>
      </c>
      <c r="J36">
        <v>5844</v>
      </c>
      <c r="K36">
        <v>4490</v>
      </c>
      <c r="L36">
        <v>15767</v>
      </c>
      <c r="M36">
        <v>8613</v>
      </c>
      <c r="N36">
        <v>2.6979808350400001</v>
      </c>
      <c r="O36">
        <v>20.991379310300001</v>
      </c>
      <c r="P36">
        <v>29.930995116399998</v>
      </c>
      <c r="Q36">
        <v>0.95356964553199997</v>
      </c>
      <c r="R36">
        <v>19.480778831799999</v>
      </c>
    </row>
    <row r="37" spans="1:18" x14ac:dyDescent="0.25">
      <c r="A37" t="s">
        <v>20</v>
      </c>
      <c r="B37">
        <v>2015</v>
      </c>
      <c r="C37" t="s">
        <v>118</v>
      </c>
      <c r="D37">
        <v>2295</v>
      </c>
      <c r="E37">
        <v>545</v>
      </c>
      <c r="F37">
        <v>615</v>
      </c>
      <c r="G37">
        <v>1804</v>
      </c>
      <c r="H37">
        <v>5981</v>
      </c>
      <c r="I37">
        <v>1702267</v>
      </c>
      <c r="J37">
        <v>3181</v>
      </c>
      <c r="K37">
        <v>2265</v>
      </c>
      <c r="L37">
        <v>9183</v>
      </c>
      <c r="M37">
        <v>4670</v>
      </c>
      <c r="N37">
        <v>2.8868280414999998</v>
      </c>
      <c r="O37">
        <v>25.4520723316</v>
      </c>
      <c r="P37">
        <v>42.103887618400002</v>
      </c>
      <c r="Q37">
        <v>11.092535317199999</v>
      </c>
      <c r="R37">
        <v>11.7445456825</v>
      </c>
    </row>
    <row r="38" spans="1:18" x14ac:dyDescent="0.25">
      <c r="A38" t="s">
        <v>16</v>
      </c>
      <c r="B38">
        <v>2015</v>
      </c>
      <c r="C38" t="s">
        <v>115</v>
      </c>
      <c r="D38">
        <v>72</v>
      </c>
      <c r="E38">
        <v>39</v>
      </c>
      <c r="F38">
        <v>13</v>
      </c>
      <c r="G38">
        <v>222</v>
      </c>
      <c r="H38">
        <v>40</v>
      </c>
      <c r="I38">
        <v>83788</v>
      </c>
      <c r="J38">
        <v>30</v>
      </c>
      <c r="K38">
        <v>14</v>
      </c>
      <c r="L38">
        <v>40</v>
      </c>
      <c r="M38">
        <v>14</v>
      </c>
      <c r="N38">
        <v>1.3333333333299999</v>
      </c>
      <c r="O38">
        <v>3.01507537688</v>
      </c>
      <c r="P38">
        <v>18.5</v>
      </c>
      <c r="Q38">
        <v>4.3478260869599996</v>
      </c>
      <c r="R38">
        <v>8.6956521739100001</v>
      </c>
    </row>
    <row r="39" spans="1:18" x14ac:dyDescent="0.25">
      <c r="A39" t="s">
        <v>16</v>
      </c>
      <c r="B39">
        <v>2015</v>
      </c>
      <c r="C39" t="s">
        <v>116</v>
      </c>
      <c r="D39">
        <v>115</v>
      </c>
      <c r="E39">
        <v>78</v>
      </c>
      <c r="F39">
        <v>9</v>
      </c>
      <c r="G39">
        <v>390</v>
      </c>
      <c r="H39">
        <v>58</v>
      </c>
      <c r="I39">
        <v>129365</v>
      </c>
      <c r="J39">
        <v>44</v>
      </c>
      <c r="K39">
        <v>8</v>
      </c>
      <c r="L39">
        <v>52</v>
      </c>
      <c r="M39">
        <v>8</v>
      </c>
      <c r="N39">
        <v>1.18181818182</v>
      </c>
      <c r="O39">
        <v>2.7620841180200002</v>
      </c>
      <c r="P39">
        <v>19.8461538462</v>
      </c>
      <c r="Q39">
        <v>1.61290322581</v>
      </c>
      <c r="R39">
        <v>12.9032258065</v>
      </c>
    </row>
    <row r="40" spans="1:18" x14ac:dyDescent="0.25">
      <c r="A40" t="s">
        <v>16</v>
      </c>
      <c r="B40">
        <v>2015</v>
      </c>
      <c r="C40" t="s">
        <v>117</v>
      </c>
      <c r="D40">
        <v>178</v>
      </c>
      <c r="E40">
        <v>98</v>
      </c>
      <c r="F40">
        <v>32</v>
      </c>
      <c r="G40">
        <v>472</v>
      </c>
      <c r="H40">
        <v>129</v>
      </c>
      <c r="I40">
        <v>158144</v>
      </c>
      <c r="J40">
        <v>92</v>
      </c>
      <c r="K40">
        <v>50</v>
      </c>
      <c r="L40">
        <v>118</v>
      </c>
      <c r="M40">
        <v>50</v>
      </c>
      <c r="N40">
        <v>1.28260869565</v>
      </c>
      <c r="O40">
        <v>4.6300956215399998</v>
      </c>
      <c r="P40">
        <v>18.322033898299999</v>
      </c>
      <c r="Q40">
        <v>8.8607594936700007</v>
      </c>
      <c r="R40">
        <v>12.658227848099999</v>
      </c>
    </row>
    <row r="41" spans="1:18" x14ac:dyDescent="0.25">
      <c r="A41" t="s">
        <v>16</v>
      </c>
      <c r="B41">
        <v>2015</v>
      </c>
      <c r="C41" t="s">
        <v>118</v>
      </c>
      <c r="D41">
        <v>217</v>
      </c>
      <c r="E41">
        <v>121</v>
      </c>
      <c r="F41">
        <v>31</v>
      </c>
      <c r="G41">
        <v>521</v>
      </c>
      <c r="H41">
        <v>101</v>
      </c>
      <c r="I41">
        <v>132923</v>
      </c>
      <c r="J41">
        <v>79</v>
      </c>
      <c r="K41">
        <v>55</v>
      </c>
      <c r="L41">
        <v>111</v>
      </c>
      <c r="M41">
        <v>52</v>
      </c>
      <c r="N41">
        <v>1.4050632911400001</v>
      </c>
      <c r="O41">
        <v>4.3937708565099998</v>
      </c>
      <c r="P41">
        <v>16.702702702700002</v>
      </c>
      <c r="Q41">
        <v>4.7619047619000003</v>
      </c>
      <c r="R41">
        <v>14.285714285699999</v>
      </c>
    </row>
    <row r="42" spans="1:18" x14ac:dyDescent="0.25">
      <c r="A42" t="s">
        <v>17</v>
      </c>
      <c r="B42">
        <v>2015</v>
      </c>
      <c r="C42" t="s">
        <v>115</v>
      </c>
      <c r="D42">
        <v>132</v>
      </c>
      <c r="E42">
        <v>38</v>
      </c>
      <c r="F42">
        <v>4</v>
      </c>
      <c r="G42">
        <v>187</v>
      </c>
      <c r="H42">
        <v>6</v>
      </c>
      <c r="I42">
        <v>185173</v>
      </c>
      <c r="J42">
        <v>5</v>
      </c>
      <c r="K42">
        <v>5</v>
      </c>
      <c r="L42">
        <v>7</v>
      </c>
      <c r="M42">
        <v>5</v>
      </c>
      <c r="N42">
        <v>1.4</v>
      </c>
      <c r="O42">
        <v>0.475285171103</v>
      </c>
      <c r="P42">
        <v>78.142857142899999</v>
      </c>
      <c r="Q42">
        <v>7.69230769231</v>
      </c>
      <c r="R42">
        <v>30.7692307692</v>
      </c>
    </row>
    <row r="43" spans="1:18" x14ac:dyDescent="0.25">
      <c r="A43" t="s">
        <v>17</v>
      </c>
      <c r="B43">
        <v>2015</v>
      </c>
      <c r="C43" t="s">
        <v>116</v>
      </c>
      <c r="D43">
        <v>167</v>
      </c>
      <c r="E43">
        <v>51</v>
      </c>
      <c r="F43">
        <v>8</v>
      </c>
      <c r="G43">
        <v>212</v>
      </c>
      <c r="H43">
        <v>10</v>
      </c>
      <c r="I43">
        <v>237506</v>
      </c>
      <c r="J43">
        <v>12</v>
      </c>
      <c r="K43">
        <v>10</v>
      </c>
      <c r="L43">
        <v>13</v>
      </c>
      <c r="M43">
        <v>9</v>
      </c>
      <c r="N43">
        <v>1.0833333333299999</v>
      </c>
      <c r="O43">
        <v>0.89820359281399997</v>
      </c>
      <c r="P43">
        <v>167.84615384599999</v>
      </c>
      <c r="Q43">
        <v>12</v>
      </c>
      <c r="R43">
        <v>20</v>
      </c>
    </row>
    <row r="44" spans="1:18" x14ac:dyDescent="0.25">
      <c r="A44" t="s">
        <v>17</v>
      </c>
      <c r="B44">
        <v>2015</v>
      </c>
      <c r="C44" t="s">
        <v>117</v>
      </c>
      <c r="D44">
        <v>230</v>
      </c>
      <c r="E44">
        <v>72</v>
      </c>
      <c r="F44">
        <v>16</v>
      </c>
      <c r="G44">
        <v>263</v>
      </c>
      <c r="H44">
        <v>21</v>
      </c>
      <c r="I44">
        <v>311353</v>
      </c>
      <c r="J44">
        <v>12</v>
      </c>
      <c r="K44">
        <v>10</v>
      </c>
      <c r="L44">
        <v>17</v>
      </c>
      <c r="M44">
        <v>12</v>
      </c>
      <c r="N44">
        <v>1.4166666666700001</v>
      </c>
      <c r="O44">
        <v>0.77469335054900001</v>
      </c>
      <c r="P44">
        <v>171.76470588199999</v>
      </c>
      <c r="Q44">
        <v>11.5384615385</v>
      </c>
      <c r="R44">
        <v>15.3846153846</v>
      </c>
    </row>
    <row r="45" spans="1:18" x14ac:dyDescent="0.25">
      <c r="A45" t="s">
        <v>17</v>
      </c>
      <c r="B45">
        <v>2015</v>
      </c>
      <c r="C45" t="s">
        <v>118</v>
      </c>
      <c r="D45">
        <v>314</v>
      </c>
      <c r="E45">
        <v>62</v>
      </c>
      <c r="F45">
        <v>23</v>
      </c>
      <c r="G45">
        <v>277</v>
      </c>
      <c r="H45">
        <v>39</v>
      </c>
      <c r="I45">
        <v>428888</v>
      </c>
      <c r="J45">
        <v>85</v>
      </c>
      <c r="K45">
        <v>18</v>
      </c>
      <c r="L45">
        <v>200</v>
      </c>
      <c r="M45">
        <v>18</v>
      </c>
      <c r="N45">
        <v>2.3529411764699999</v>
      </c>
      <c r="O45">
        <v>3.7411971831000002</v>
      </c>
      <c r="P45">
        <v>31.835000000000001</v>
      </c>
      <c r="Q45">
        <v>5.2173913043500004</v>
      </c>
      <c r="R45">
        <v>6.5217391304300003</v>
      </c>
    </row>
    <row r="46" spans="1:18" x14ac:dyDescent="0.25">
      <c r="A46" t="s">
        <v>18</v>
      </c>
      <c r="B46">
        <v>2015</v>
      </c>
      <c r="C46" t="s">
        <v>115</v>
      </c>
      <c r="D46">
        <v>1533</v>
      </c>
      <c r="E46">
        <v>99</v>
      </c>
      <c r="F46">
        <v>6</v>
      </c>
      <c r="G46">
        <v>292</v>
      </c>
      <c r="H46">
        <v>14</v>
      </c>
      <c r="I46">
        <v>600730</v>
      </c>
      <c r="J46">
        <v>6</v>
      </c>
      <c r="K46">
        <v>6</v>
      </c>
      <c r="L46">
        <v>8</v>
      </c>
      <c r="M46">
        <v>6</v>
      </c>
      <c r="N46">
        <v>1.3333333333299999</v>
      </c>
      <c r="O46">
        <v>1.9933554817300001</v>
      </c>
      <c r="P46">
        <v>596</v>
      </c>
      <c r="Q46">
        <v>6.6666666666700003</v>
      </c>
      <c r="R46">
        <v>26.666666666699999</v>
      </c>
    </row>
    <row r="47" spans="1:18" x14ac:dyDescent="0.25">
      <c r="A47" t="s">
        <v>18</v>
      </c>
      <c r="B47">
        <v>2015</v>
      </c>
      <c r="C47" t="s">
        <v>116</v>
      </c>
      <c r="D47">
        <v>1199</v>
      </c>
      <c r="E47">
        <v>97</v>
      </c>
      <c r="F47">
        <v>11</v>
      </c>
      <c r="G47">
        <v>280</v>
      </c>
      <c r="H47">
        <v>25</v>
      </c>
      <c r="I47">
        <v>583311</v>
      </c>
      <c r="J47">
        <v>16</v>
      </c>
      <c r="K47">
        <v>15</v>
      </c>
      <c r="L47">
        <v>20</v>
      </c>
      <c r="M47">
        <v>14</v>
      </c>
      <c r="N47">
        <v>1.25</v>
      </c>
      <c r="O47">
        <v>4.4077134986199997</v>
      </c>
      <c r="P47">
        <v>547.75</v>
      </c>
      <c r="Q47">
        <v>3.7037037037</v>
      </c>
      <c r="R47">
        <v>22.222222222199999</v>
      </c>
    </row>
    <row r="48" spans="1:18" x14ac:dyDescent="0.25">
      <c r="A48" t="s">
        <v>18</v>
      </c>
      <c r="B48">
        <v>2015</v>
      </c>
      <c r="C48" t="s">
        <v>117</v>
      </c>
      <c r="D48">
        <v>1358</v>
      </c>
      <c r="E48">
        <v>82</v>
      </c>
      <c r="F48">
        <v>7</v>
      </c>
      <c r="G48">
        <v>234</v>
      </c>
      <c r="H48">
        <v>12</v>
      </c>
      <c r="I48">
        <v>461272</v>
      </c>
      <c r="J48">
        <v>7</v>
      </c>
      <c r="K48">
        <v>7</v>
      </c>
      <c r="L48">
        <v>8</v>
      </c>
      <c r="M48">
        <v>7</v>
      </c>
      <c r="N48">
        <v>1.1428571428600001</v>
      </c>
      <c r="O48">
        <v>2.0408163265299999</v>
      </c>
      <c r="P48">
        <v>561.875</v>
      </c>
      <c r="Q48">
        <v>27.272727272699999</v>
      </c>
      <c r="R48">
        <v>31.818181818199999</v>
      </c>
    </row>
    <row r="49" spans="1:18" x14ac:dyDescent="0.25">
      <c r="A49" t="s">
        <v>18</v>
      </c>
      <c r="B49">
        <v>2015</v>
      </c>
      <c r="C49" t="s">
        <v>118</v>
      </c>
      <c r="D49">
        <v>1311</v>
      </c>
      <c r="E49">
        <v>100</v>
      </c>
      <c r="F49">
        <v>14</v>
      </c>
      <c r="G49">
        <v>310</v>
      </c>
      <c r="H49">
        <v>26</v>
      </c>
      <c r="I49">
        <v>535414</v>
      </c>
      <c r="J49">
        <v>17</v>
      </c>
      <c r="K49">
        <v>15</v>
      </c>
      <c r="L49">
        <v>17</v>
      </c>
      <c r="M49">
        <v>14</v>
      </c>
      <c r="N49">
        <v>1</v>
      </c>
      <c r="O49">
        <v>3.4552845528499998</v>
      </c>
      <c r="P49">
        <v>539.94117647099995</v>
      </c>
      <c r="Q49">
        <v>7.1428571428599996</v>
      </c>
      <c r="R49">
        <v>21.428571428600002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3237"/>
  <sheetViews>
    <sheetView showGridLines="0" zoomScale="70" zoomScaleNormal="70" workbookViewId="0">
      <selection activeCell="B23" sqref="B23"/>
    </sheetView>
  </sheetViews>
  <sheetFormatPr defaultRowHeight="15" x14ac:dyDescent="0.25"/>
  <cols>
    <col min="4" max="7" width="9.140625" style="40"/>
    <col min="10" max="17" width="9.140625" style="40"/>
    <col min="188" max="188" width="14.85546875" bestFit="1" customWidth="1"/>
    <col min="297" max="297" width="14.85546875" bestFit="1" customWidth="1"/>
    <col min="429" max="429" width="14.85546875" bestFit="1" customWidth="1"/>
    <col min="904" max="904" width="5.7109375" customWidth="1"/>
    <col min="905" max="909" width="20" customWidth="1"/>
    <col min="910" max="1246" width="10.28515625" customWidth="1"/>
    <col min="1247" max="1247" width="11.85546875" customWidth="1"/>
    <col min="1248" max="1259" width="13.42578125" customWidth="1"/>
    <col min="1260" max="1260" width="13.5703125" customWidth="1"/>
    <col min="1261" max="1261" width="12.140625" customWidth="1"/>
    <col min="1262" max="1262" width="15.7109375" customWidth="1"/>
    <col min="1263" max="1264" width="11.5703125" customWidth="1"/>
    <col min="1265" max="1266" width="13.28515625" customWidth="1"/>
    <col min="1267" max="1267" width="16.7109375" customWidth="1"/>
    <col min="1268" max="1268" width="12.7109375" customWidth="1"/>
    <col min="1269" max="1269" width="14.85546875" customWidth="1"/>
    <col min="1270" max="1271" width="14.42578125" customWidth="1"/>
    <col min="1272" max="1272" width="14.85546875" customWidth="1"/>
  </cols>
  <sheetData>
    <row r="1" spans="1:18" ht="15.75" thickBot="1" x14ac:dyDescent="0.3">
      <c r="A1" s="40"/>
      <c r="B1" s="40"/>
      <c r="C1" s="40"/>
      <c r="H1" s="40"/>
      <c r="I1" s="40"/>
      <c r="R1" s="40"/>
    </row>
    <row r="2" spans="1:18" ht="27" thickBot="1" x14ac:dyDescent="0.3">
      <c r="A2" s="41"/>
      <c r="B2" s="191"/>
      <c r="C2" s="192"/>
      <c r="D2" s="192"/>
      <c r="E2" s="192"/>
      <c r="F2" s="192"/>
      <c r="G2" s="192"/>
      <c r="H2" s="192"/>
      <c r="I2" s="193"/>
      <c r="J2" s="193"/>
      <c r="K2" s="193"/>
      <c r="L2" s="193"/>
      <c r="M2" s="193"/>
      <c r="N2" s="193"/>
      <c r="O2" s="193"/>
      <c r="P2" s="193"/>
      <c r="Q2" s="193"/>
      <c r="R2" s="193"/>
    </row>
    <row r="3" spans="1:18" x14ac:dyDescent="0.25">
      <c r="A3" s="40"/>
      <c r="B3" s="40"/>
      <c r="C3" s="40"/>
      <c r="H3" s="40"/>
      <c r="I3" s="40"/>
      <c r="R3" s="40"/>
    </row>
    <row r="4" spans="1:18" x14ac:dyDescent="0.25">
      <c r="A4" s="40"/>
      <c r="B4" s="40"/>
      <c r="C4" s="40"/>
      <c r="H4" s="40"/>
      <c r="I4" s="40"/>
      <c r="R4" s="40"/>
    </row>
    <row r="5" spans="1:18" ht="15.75" thickBot="1" x14ac:dyDescent="0.3">
      <c r="A5" s="40"/>
      <c r="B5" s="40"/>
      <c r="C5" s="40"/>
      <c r="H5" s="40"/>
      <c r="I5" s="40"/>
      <c r="R5" s="40"/>
    </row>
    <row r="6" spans="1:18" ht="24" thickBot="1" x14ac:dyDescent="0.4">
      <c r="A6" s="40"/>
      <c r="B6" s="42"/>
      <c r="C6" s="194" t="s">
        <v>0</v>
      </c>
      <c r="D6" s="195"/>
      <c r="E6" s="195"/>
      <c r="F6" s="195"/>
      <c r="G6" s="195"/>
      <c r="H6" s="195"/>
      <c r="I6" s="194" t="s">
        <v>1</v>
      </c>
      <c r="J6" s="195"/>
      <c r="K6" s="195"/>
      <c r="L6" s="195"/>
      <c r="M6" s="195"/>
      <c r="N6" s="195"/>
      <c r="O6" s="195"/>
      <c r="P6" s="195"/>
      <c r="Q6" s="195"/>
      <c r="R6" s="196"/>
    </row>
    <row r="7" spans="1:18" ht="48.75" customHeight="1" thickBot="1" x14ac:dyDescent="0.3">
      <c r="A7" s="40"/>
      <c r="B7" s="43"/>
      <c r="C7" s="93" t="s">
        <v>68</v>
      </c>
      <c r="D7" s="59" t="s">
        <v>2</v>
      </c>
      <c r="E7" s="59" t="s">
        <v>69</v>
      </c>
      <c r="F7" s="59" t="s">
        <v>70</v>
      </c>
      <c r="G7" s="59" t="s">
        <v>71</v>
      </c>
      <c r="H7" s="59" t="s">
        <v>4</v>
      </c>
      <c r="I7" s="59" t="s">
        <v>5</v>
      </c>
      <c r="J7" s="59" t="s">
        <v>59</v>
      </c>
      <c r="K7" s="59" t="s">
        <v>6</v>
      </c>
      <c r="L7" s="59" t="s">
        <v>60</v>
      </c>
      <c r="M7" s="59" t="s">
        <v>7</v>
      </c>
      <c r="N7" s="59" t="s">
        <v>8</v>
      </c>
      <c r="O7" s="59" t="s">
        <v>72</v>
      </c>
      <c r="P7" s="59" t="s">
        <v>9</v>
      </c>
      <c r="Q7" s="59" t="s">
        <v>10</v>
      </c>
      <c r="R7" s="59" t="s">
        <v>58</v>
      </c>
    </row>
    <row r="8" spans="1:18" x14ac:dyDescent="0.25">
      <c r="A8" s="40"/>
      <c r="B8" s="27" t="s">
        <v>61</v>
      </c>
      <c r="C8" s="46"/>
      <c r="D8" s="47"/>
      <c r="E8" s="47"/>
      <c r="F8" s="47"/>
      <c r="G8" s="47"/>
      <c r="H8" s="47"/>
      <c r="I8" s="46"/>
      <c r="J8" s="47"/>
      <c r="K8" s="47"/>
      <c r="L8" s="47"/>
      <c r="M8" s="47"/>
      <c r="N8" s="47"/>
      <c r="O8" s="47"/>
      <c r="P8" s="47"/>
      <c r="Q8" s="47"/>
      <c r="R8" s="48"/>
    </row>
    <row r="9" spans="1:18" ht="15.75" thickBot="1" x14ac:dyDescent="0.3">
      <c r="A9" s="40"/>
      <c r="B9" s="28" t="s">
        <v>115</v>
      </c>
      <c r="C9" s="51">
        <v>21781</v>
      </c>
      <c r="D9" s="39">
        <v>5954</v>
      </c>
      <c r="E9" s="39">
        <v>8426</v>
      </c>
      <c r="F9" s="39">
        <v>31727</v>
      </c>
      <c r="G9" s="39">
        <v>65127</v>
      </c>
      <c r="H9" s="25">
        <v>18384649</v>
      </c>
      <c r="I9" s="34">
        <v>24541</v>
      </c>
      <c r="J9" s="35">
        <v>14974</v>
      </c>
      <c r="K9" s="35">
        <v>73837</v>
      </c>
      <c r="L9" s="35">
        <v>26547</v>
      </c>
      <c r="M9" s="35">
        <v>3.0087201010600002</v>
      </c>
      <c r="N9" s="35">
        <v>28.772583916599999</v>
      </c>
      <c r="O9" s="35">
        <v>68.515243035300003</v>
      </c>
      <c r="P9" s="35">
        <v>3.7165435211400002</v>
      </c>
      <c r="Q9" s="35">
        <v>7.7774276009400003</v>
      </c>
      <c r="R9" s="38">
        <f t="shared" ref="R9:R27" si="0">(((I9+J9)+(K9+L9))/2)*O9*K9</f>
        <v>353871722519.82135</v>
      </c>
    </row>
    <row r="10" spans="1:18" s="40" customFormat="1" x14ac:dyDescent="0.25">
      <c r="B10" s="29" t="s">
        <v>116</v>
      </c>
      <c r="C10" s="57">
        <v>23525</v>
      </c>
      <c r="D10" s="30">
        <v>6367</v>
      </c>
      <c r="E10" s="30">
        <v>8913</v>
      </c>
      <c r="F10" s="30">
        <v>38809</v>
      </c>
      <c r="G10" s="30">
        <v>100145</v>
      </c>
      <c r="H10" s="12">
        <v>19342450</v>
      </c>
      <c r="I10" s="58">
        <v>36840</v>
      </c>
      <c r="J10" s="11">
        <v>19536</v>
      </c>
      <c r="K10" s="11">
        <v>112117</v>
      </c>
      <c r="L10" s="11">
        <v>32377</v>
      </c>
      <c r="M10" s="11">
        <v>3.0433496199799999</v>
      </c>
      <c r="N10" s="11">
        <v>34.102901153399998</v>
      </c>
      <c r="O10" s="11">
        <v>50.849639216200003</v>
      </c>
      <c r="P10" s="11">
        <v>2.55297583225</v>
      </c>
      <c r="Q10" s="11">
        <v>7.1671787399799998</v>
      </c>
      <c r="R10" s="56">
        <f t="shared" si="0"/>
        <v>572590882415.27075</v>
      </c>
    </row>
    <row r="11" spans="1:18" s="40" customFormat="1" x14ac:dyDescent="0.25">
      <c r="B11" s="29" t="s">
        <v>117</v>
      </c>
      <c r="C11" s="57">
        <v>29225</v>
      </c>
      <c r="D11" s="30">
        <v>7711</v>
      </c>
      <c r="E11" s="30">
        <v>11437</v>
      </c>
      <c r="F11" s="30">
        <v>40303</v>
      </c>
      <c r="G11" s="30">
        <v>98625</v>
      </c>
      <c r="H11" s="12">
        <v>18945336</v>
      </c>
      <c r="I11" s="58">
        <v>37083</v>
      </c>
      <c r="J11" s="11">
        <v>20591</v>
      </c>
      <c r="K11" s="11">
        <v>111871</v>
      </c>
      <c r="L11" s="11">
        <v>32823</v>
      </c>
      <c r="M11" s="11">
        <v>3.0167731844799999</v>
      </c>
      <c r="N11" s="11">
        <v>36.4398368791</v>
      </c>
      <c r="O11" s="11">
        <v>52.415496419999997</v>
      </c>
      <c r="P11" s="11">
        <v>2.1669134409700002</v>
      </c>
      <c r="Q11" s="11">
        <v>8.1513862448799994</v>
      </c>
      <c r="R11" s="56">
        <f t="shared" si="0"/>
        <v>593320108416.18408</v>
      </c>
    </row>
    <row r="12" spans="1:18" s="40" customFormat="1" x14ac:dyDescent="0.25">
      <c r="B12" s="29" t="s">
        <v>118</v>
      </c>
      <c r="C12" s="57">
        <v>24621</v>
      </c>
      <c r="D12" s="30">
        <v>6839</v>
      </c>
      <c r="E12" s="30">
        <v>8542</v>
      </c>
      <c r="F12" s="30">
        <v>34018</v>
      </c>
      <c r="G12" s="30">
        <v>72144</v>
      </c>
      <c r="H12" s="12">
        <v>15557772</v>
      </c>
      <c r="I12" s="58">
        <v>28841</v>
      </c>
      <c r="J12" s="11">
        <v>15314</v>
      </c>
      <c r="K12" s="11">
        <v>87760</v>
      </c>
      <c r="L12" s="11">
        <v>23438</v>
      </c>
      <c r="M12" s="11">
        <v>3.0428903297400001</v>
      </c>
      <c r="N12" s="11">
        <v>36.652348515699998</v>
      </c>
      <c r="O12" s="11">
        <v>52.536577028300002</v>
      </c>
      <c r="P12" s="11">
        <v>3.38795838856</v>
      </c>
      <c r="Q12" s="11">
        <v>6.7638671325899997</v>
      </c>
      <c r="R12" s="56">
        <f t="shared" si="0"/>
        <v>358136047665.28027</v>
      </c>
    </row>
    <row r="13" spans="1:18" x14ac:dyDescent="0.25">
      <c r="A13" s="40"/>
      <c r="B13" s="26" t="s">
        <v>15</v>
      </c>
      <c r="C13" s="19"/>
      <c r="D13" s="53"/>
      <c r="E13" s="53"/>
      <c r="F13" s="53"/>
      <c r="G13" s="53"/>
      <c r="H13" s="53"/>
      <c r="I13" s="32"/>
      <c r="J13" s="22"/>
      <c r="K13" s="22"/>
      <c r="L13" s="22"/>
      <c r="M13" s="22"/>
      <c r="N13" s="22"/>
      <c r="O13" s="22"/>
      <c r="P13" s="22"/>
      <c r="Q13" s="22"/>
      <c r="R13" s="37">
        <f t="shared" si="0"/>
        <v>0</v>
      </c>
    </row>
    <row r="14" spans="1:18" ht="15.75" thickBot="1" x14ac:dyDescent="0.3">
      <c r="A14" s="40"/>
      <c r="B14" s="24" t="s">
        <v>115</v>
      </c>
      <c r="C14" s="52">
        <v>1074</v>
      </c>
      <c r="D14" s="33">
        <v>170</v>
      </c>
      <c r="E14" s="33">
        <v>479</v>
      </c>
      <c r="F14" s="33">
        <v>776</v>
      </c>
      <c r="G14" s="33">
        <v>3139</v>
      </c>
      <c r="H14" s="25">
        <v>1089186</v>
      </c>
      <c r="I14" s="52">
        <v>1066</v>
      </c>
      <c r="J14" s="33">
        <v>403</v>
      </c>
      <c r="K14" s="33">
        <v>3559</v>
      </c>
      <c r="L14" s="33">
        <v>654</v>
      </c>
      <c r="M14" s="33">
        <v>3.3386491557200002</v>
      </c>
      <c r="N14" s="33">
        <v>32.342233009700003</v>
      </c>
      <c r="O14" s="33">
        <v>120.185164372</v>
      </c>
      <c r="P14" s="33">
        <v>2.18996689585</v>
      </c>
      <c r="Q14" s="33">
        <v>5.1184110007600001</v>
      </c>
      <c r="R14" s="36">
        <f t="shared" si="0"/>
        <v>1215206498.9998524</v>
      </c>
    </row>
    <row r="15" spans="1:18" s="40" customFormat="1" x14ac:dyDescent="0.25">
      <c r="B15" s="10" t="s">
        <v>116</v>
      </c>
      <c r="C15" s="12">
        <v>1321</v>
      </c>
      <c r="D15" s="12">
        <v>209</v>
      </c>
      <c r="E15" s="12">
        <v>456</v>
      </c>
      <c r="F15" s="12">
        <v>703</v>
      </c>
      <c r="G15" s="12">
        <v>3133</v>
      </c>
      <c r="H15" s="12">
        <v>1093919</v>
      </c>
      <c r="I15" s="12">
        <v>1368</v>
      </c>
      <c r="J15" s="12">
        <v>559</v>
      </c>
      <c r="K15" s="12">
        <v>4505</v>
      </c>
      <c r="L15" s="12">
        <v>791</v>
      </c>
      <c r="M15" s="12">
        <v>3.2931286549699998</v>
      </c>
      <c r="N15" s="12">
        <v>27.681100768899999</v>
      </c>
      <c r="O15" s="12">
        <v>86.538512763599996</v>
      </c>
      <c r="P15" s="12">
        <v>1.6158723665400001</v>
      </c>
      <c r="Q15" s="12">
        <v>4.1930865207599997</v>
      </c>
      <c r="R15" s="12">
        <f t="shared" si="0"/>
        <v>1407964944.0000651</v>
      </c>
    </row>
    <row r="16" spans="1:18" s="40" customFormat="1" x14ac:dyDescent="0.25">
      <c r="B16" s="10" t="s">
        <v>117</v>
      </c>
      <c r="C16" s="12">
        <v>1328</v>
      </c>
      <c r="D16" s="12">
        <v>211</v>
      </c>
      <c r="E16" s="12">
        <v>398</v>
      </c>
      <c r="F16" s="12">
        <v>745</v>
      </c>
      <c r="G16" s="12">
        <v>2881</v>
      </c>
      <c r="H16" s="12">
        <v>1148981</v>
      </c>
      <c r="I16" s="12">
        <v>1519</v>
      </c>
      <c r="J16" s="12">
        <v>916</v>
      </c>
      <c r="K16" s="12">
        <v>4913</v>
      </c>
      <c r="L16" s="12">
        <v>1405</v>
      </c>
      <c r="M16" s="12">
        <v>3.2343647136300002</v>
      </c>
      <c r="N16" s="12">
        <v>24.7353851164</v>
      </c>
      <c r="O16" s="12">
        <v>76.879910441700005</v>
      </c>
      <c r="P16" s="12">
        <v>1.8602029312299999</v>
      </c>
      <c r="Q16" s="12">
        <v>4.2841037204100001</v>
      </c>
      <c r="R16" s="12">
        <f t="shared" si="0"/>
        <v>1653052191.5003157</v>
      </c>
    </row>
    <row r="17" spans="2:18" s="40" customFormat="1" x14ac:dyDescent="0.25">
      <c r="B17" s="10" t="s">
        <v>118</v>
      </c>
      <c r="C17" s="12">
        <v>1936</v>
      </c>
      <c r="D17" s="12">
        <v>231</v>
      </c>
      <c r="E17" s="12">
        <v>514</v>
      </c>
      <c r="F17" s="12">
        <v>847</v>
      </c>
      <c r="G17" s="12">
        <v>4261</v>
      </c>
      <c r="H17" s="12">
        <v>792884</v>
      </c>
      <c r="I17" s="12">
        <v>1752</v>
      </c>
      <c r="J17" s="12">
        <v>722</v>
      </c>
      <c r="K17" s="12">
        <v>6103</v>
      </c>
      <c r="L17" s="12">
        <v>883</v>
      </c>
      <c r="M17" s="12">
        <v>3.48344748858</v>
      </c>
      <c r="N17" s="12">
        <v>31.2243806808</v>
      </c>
      <c r="O17" s="12">
        <v>43.439783712900002</v>
      </c>
      <c r="P17" s="12">
        <v>0.60145615701199995</v>
      </c>
      <c r="Q17" s="12">
        <v>2.5324469768900002</v>
      </c>
      <c r="R17" s="12">
        <f t="shared" si="0"/>
        <v>1253984489.9991899</v>
      </c>
    </row>
    <row r="18" spans="2:18" x14ac:dyDescent="0.25">
      <c r="B18" t="s">
        <v>57</v>
      </c>
      <c r="R18">
        <f t="shared" si="0"/>
        <v>0</v>
      </c>
    </row>
    <row r="19" spans="2:18" x14ac:dyDescent="0.25">
      <c r="B19" t="s">
        <v>115</v>
      </c>
      <c r="C19">
        <v>4378</v>
      </c>
      <c r="D19" s="40">
        <v>1150</v>
      </c>
      <c r="E19" s="40">
        <v>1296</v>
      </c>
      <c r="F19" s="40">
        <v>7373</v>
      </c>
      <c r="G19" s="40">
        <v>9938</v>
      </c>
      <c r="H19">
        <v>4183040</v>
      </c>
      <c r="I19">
        <v>3261</v>
      </c>
      <c r="J19" s="40">
        <v>3021</v>
      </c>
      <c r="K19" s="40">
        <v>8308</v>
      </c>
      <c r="L19" s="40">
        <v>5899</v>
      </c>
      <c r="M19" s="40">
        <v>2.54768475928</v>
      </c>
      <c r="N19" s="40">
        <v>35.445652173900001</v>
      </c>
      <c r="O19" s="40">
        <v>134.70570534399999</v>
      </c>
      <c r="P19" s="40">
        <v>7.9161816065200004</v>
      </c>
      <c r="Q19" s="40">
        <v>21.3659293752</v>
      </c>
      <c r="R19">
        <f t="shared" si="0"/>
        <v>11464978507.479019</v>
      </c>
    </row>
    <row r="20" spans="2:18" s="40" customFormat="1" x14ac:dyDescent="0.25">
      <c r="B20" s="40" t="s">
        <v>116</v>
      </c>
      <c r="C20" s="40">
        <v>5551</v>
      </c>
      <c r="D20" s="40">
        <v>1272</v>
      </c>
      <c r="E20" s="40">
        <v>1657</v>
      </c>
      <c r="F20" s="40">
        <v>9661</v>
      </c>
      <c r="G20" s="40">
        <v>15823</v>
      </c>
      <c r="H20" s="40">
        <v>5297095</v>
      </c>
      <c r="I20" s="40">
        <v>5384</v>
      </c>
      <c r="J20" s="40">
        <v>4749</v>
      </c>
      <c r="K20" s="40">
        <v>13998</v>
      </c>
      <c r="L20" s="40">
        <v>8697</v>
      </c>
      <c r="M20" s="40">
        <v>2.59992570579</v>
      </c>
      <c r="N20" s="40">
        <v>38.921419793200002</v>
      </c>
      <c r="O20" s="40">
        <v>133.174882126</v>
      </c>
      <c r="P20" s="40">
        <v>6.4322555048599996</v>
      </c>
      <c r="Q20" s="40">
        <v>18.825629835400001</v>
      </c>
      <c r="R20" s="40">
        <f t="shared" si="0"/>
        <v>30598683347.995861</v>
      </c>
    </row>
    <row r="21" spans="2:18" s="40" customFormat="1" x14ac:dyDescent="0.25">
      <c r="B21" s="40" t="s">
        <v>117</v>
      </c>
      <c r="C21" s="40">
        <v>7230</v>
      </c>
      <c r="D21" s="40">
        <v>1852</v>
      </c>
      <c r="E21" s="40">
        <v>2804</v>
      </c>
      <c r="F21" s="40">
        <v>11123</v>
      </c>
      <c r="G21" s="40">
        <v>18297</v>
      </c>
      <c r="H21" s="40">
        <v>5212608</v>
      </c>
      <c r="I21" s="40">
        <v>5625</v>
      </c>
      <c r="J21" s="40">
        <v>5157</v>
      </c>
      <c r="K21" s="40">
        <v>14736</v>
      </c>
      <c r="L21" s="40">
        <v>9808</v>
      </c>
      <c r="M21" s="40">
        <v>2.6197333333300001</v>
      </c>
      <c r="N21" s="40">
        <v>40.672451193100002</v>
      </c>
      <c r="O21" s="40">
        <v>133.92487785</v>
      </c>
      <c r="P21" s="40">
        <v>6.9616519174000002</v>
      </c>
      <c r="Q21" s="40">
        <v>19.387338325399998</v>
      </c>
      <c r="R21" s="40">
        <f t="shared" si="0"/>
        <v>34858230770.957603</v>
      </c>
    </row>
    <row r="22" spans="2:18" s="40" customFormat="1" x14ac:dyDescent="0.25">
      <c r="B22" s="40" t="s">
        <v>118</v>
      </c>
      <c r="C22" s="40">
        <v>4871</v>
      </c>
      <c r="D22" s="40">
        <v>1267</v>
      </c>
      <c r="E22" s="40">
        <v>1724</v>
      </c>
      <c r="F22" s="40">
        <v>8557</v>
      </c>
      <c r="G22" s="40">
        <v>14057</v>
      </c>
      <c r="H22" s="40">
        <v>4258360</v>
      </c>
      <c r="I22" s="40">
        <v>4284</v>
      </c>
      <c r="J22" s="40">
        <v>4015</v>
      </c>
      <c r="K22" s="40">
        <v>11049</v>
      </c>
      <c r="L22" s="40">
        <v>7590</v>
      </c>
      <c r="M22" s="40">
        <v>2.5791316526600001</v>
      </c>
      <c r="N22" s="40">
        <v>35.756614639799999</v>
      </c>
      <c r="O22" s="40">
        <v>128.827495701</v>
      </c>
      <c r="P22" s="40">
        <v>6.5347137637000001</v>
      </c>
      <c r="Q22" s="40">
        <v>19.835566382500001</v>
      </c>
      <c r="R22" s="40">
        <f t="shared" si="0"/>
        <v>19171976635.0047</v>
      </c>
    </row>
    <row r="23" spans="2:18" x14ac:dyDescent="0.25">
      <c r="B23" t="s">
        <v>14</v>
      </c>
      <c r="R23">
        <f t="shared" si="0"/>
        <v>0</v>
      </c>
    </row>
    <row r="24" spans="2:18" x14ac:dyDescent="0.25">
      <c r="B24" t="s">
        <v>115</v>
      </c>
      <c r="C24">
        <v>2043</v>
      </c>
      <c r="D24" s="40">
        <v>755</v>
      </c>
      <c r="E24" s="40">
        <v>1043</v>
      </c>
      <c r="F24" s="40">
        <v>4666</v>
      </c>
      <c r="G24" s="40">
        <v>7385</v>
      </c>
      <c r="H24">
        <v>2050078</v>
      </c>
      <c r="I24">
        <v>2730</v>
      </c>
      <c r="J24" s="40">
        <v>1613</v>
      </c>
      <c r="K24" s="40">
        <v>7391</v>
      </c>
      <c r="L24" s="40">
        <v>1755</v>
      </c>
      <c r="M24" s="40">
        <v>2.7073260073299998</v>
      </c>
      <c r="N24" s="40">
        <v>39.519397799700002</v>
      </c>
      <c r="O24" s="40">
        <v>80.7445541875</v>
      </c>
      <c r="P24" s="40">
        <v>7.4014155712800003</v>
      </c>
      <c r="Q24" s="40">
        <v>13.144590495399999</v>
      </c>
      <c r="R24">
        <f t="shared" si="0"/>
        <v>4025002943.4987354</v>
      </c>
    </row>
    <row r="25" spans="2:18" s="40" customFormat="1" x14ac:dyDescent="0.25">
      <c r="B25" s="40" t="s">
        <v>116</v>
      </c>
      <c r="C25" s="40">
        <v>1704</v>
      </c>
      <c r="D25" s="40">
        <v>678</v>
      </c>
      <c r="E25" s="40">
        <v>725</v>
      </c>
      <c r="F25" s="40">
        <v>7378</v>
      </c>
      <c r="G25" s="40">
        <v>18605</v>
      </c>
      <c r="H25" s="40">
        <v>1919403</v>
      </c>
      <c r="I25" s="40">
        <v>6187</v>
      </c>
      <c r="J25" s="40">
        <v>2576</v>
      </c>
      <c r="K25" s="40">
        <v>18165</v>
      </c>
      <c r="L25" s="40">
        <v>2567</v>
      </c>
      <c r="M25" s="40">
        <v>2.9359948278600001</v>
      </c>
      <c r="N25" s="40">
        <v>52.4588773953</v>
      </c>
      <c r="O25" s="40">
        <v>35.232149738499999</v>
      </c>
      <c r="P25" s="40">
        <v>1.9780670288</v>
      </c>
      <c r="Q25" s="40">
        <v>4.2072358306900002</v>
      </c>
      <c r="R25" s="40">
        <f t="shared" si="0"/>
        <v>9438282019.9978237</v>
      </c>
    </row>
    <row r="26" spans="2:18" s="40" customFormat="1" x14ac:dyDescent="0.25">
      <c r="B26" s="40" t="s">
        <v>117</v>
      </c>
      <c r="C26" s="40">
        <v>1963</v>
      </c>
      <c r="D26" s="40">
        <v>666</v>
      </c>
      <c r="E26" s="40">
        <v>938</v>
      </c>
      <c r="F26" s="40">
        <v>6787</v>
      </c>
      <c r="G26" s="40">
        <v>16479</v>
      </c>
      <c r="H26" s="40">
        <v>1906945</v>
      </c>
      <c r="I26" s="40">
        <v>5970</v>
      </c>
      <c r="J26" s="40">
        <v>2757</v>
      </c>
      <c r="K26" s="40">
        <v>17065</v>
      </c>
      <c r="L26" s="40">
        <v>2930</v>
      </c>
      <c r="M26" s="40">
        <v>2.8584589614699998</v>
      </c>
      <c r="N26" s="40">
        <v>52.030678054699997</v>
      </c>
      <c r="O26" s="40">
        <v>39.177732200400001</v>
      </c>
      <c r="P26" s="40">
        <v>1.9121503496500001</v>
      </c>
      <c r="Q26" s="40">
        <v>3.8188374125900002</v>
      </c>
      <c r="R26" s="40">
        <f t="shared" si="0"/>
        <v>9601305047.9975014</v>
      </c>
    </row>
    <row r="27" spans="2:18" s="40" customFormat="1" x14ac:dyDescent="0.25">
      <c r="B27" s="40" t="s">
        <v>118</v>
      </c>
      <c r="C27" s="40">
        <v>2073</v>
      </c>
      <c r="D27" s="40">
        <v>720</v>
      </c>
      <c r="E27" s="40">
        <v>870</v>
      </c>
      <c r="F27" s="40">
        <v>6574</v>
      </c>
      <c r="G27" s="40">
        <v>14892</v>
      </c>
      <c r="H27" s="40">
        <v>1755714</v>
      </c>
      <c r="I27" s="40">
        <v>5355</v>
      </c>
      <c r="J27" s="40">
        <v>2754</v>
      </c>
      <c r="K27" s="40">
        <v>14975</v>
      </c>
      <c r="L27" s="40">
        <v>3005</v>
      </c>
      <c r="M27" s="40">
        <v>2.7964519140999999</v>
      </c>
      <c r="N27" s="40">
        <v>53.288884466100001</v>
      </c>
      <c r="O27" s="40">
        <v>37.986978297199997</v>
      </c>
      <c r="P27" s="40">
        <v>2.0883385695799999</v>
      </c>
      <c r="Q27" s="40">
        <v>4.4107681882599996</v>
      </c>
      <c r="R27" s="40">
        <f t="shared" si="0"/>
        <v>7420429047.5074348</v>
      </c>
    </row>
    <row r="2668" ht="27.75" customHeight="1" x14ac:dyDescent="0.25"/>
    <row r="2669" ht="27.75" customHeight="1" x14ac:dyDescent="0.25"/>
    <row r="2670" ht="27.75" customHeight="1" x14ac:dyDescent="0.25"/>
    <row r="2671" ht="27.75" customHeight="1" x14ac:dyDescent="0.25"/>
    <row r="2672" ht="33" customHeight="1" x14ac:dyDescent="0.25"/>
    <row r="2673" ht="28.5" customHeight="1" x14ac:dyDescent="0.25"/>
    <row r="2674" ht="27.75" customHeight="1" x14ac:dyDescent="0.25"/>
    <row r="2675" ht="27.75" customHeight="1" x14ac:dyDescent="0.25"/>
    <row r="2676" ht="27.75" customHeight="1" x14ac:dyDescent="0.25"/>
    <row r="2677" ht="27.75" customHeight="1" x14ac:dyDescent="0.25"/>
    <row r="2678" ht="27.75" customHeight="1" x14ac:dyDescent="0.25"/>
    <row r="2679" ht="45" customHeight="1" x14ac:dyDescent="0.25"/>
    <row r="2680" ht="48" customHeight="1" x14ac:dyDescent="0.25"/>
    <row r="2681" ht="27.75" customHeight="1" x14ac:dyDescent="0.25"/>
    <row r="2682" ht="40.5" customHeight="1" x14ac:dyDescent="0.25"/>
    <row r="2683" ht="19.5" customHeight="1" x14ac:dyDescent="0.25"/>
    <row r="2684" ht="19.5" customHeight="1" x14ac:dyDescent="0.25"/>
    <row r="2685" ht="19.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3237" ht="18" customHeight="1" x14ac:dyDescent="0.25"/>
  </sheetData>
  <sortState ref="AVL123:AVL132">
    <sortCondition descending="1" ref="AVL122"/>
  </sortState>
  <mergeCells count="3">
    <mergeCell ref="B2:R2"/>
    <mergeCell ref="C6:H6"/>
    <mergeCell ref="I6:R6"/>
  </mergeCells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272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1:W87"/>
  <sheetViews>
    <sheetView showGridLines="0" topLeftCell="A3" zoomScale="70" zoomScaleNormal="70" workbookViewId="0">
      <selection activeCell="L8" sqref="L8"/>
    </sheetView>
  </sheetViews>
  <sheetFormatPr defaultColWidth="9.140625" defaultRowHeight="15" x14ac:dyDescent="0.25"/>
  <cols>
    <col min="1" max="1" width="5.7109375" style="9" customWidth="1"/>
    <col min="2" max="2" width="11.42578125" style="9" customWidth="1"/>
    <col min="3" max="3" width="10.28515625" style="9" customWidth="1"/>
    <col min="4" max="4" width="30.7109375" style="9" customWidth="1"/>
    <col min="5" max="5" width="9.7109375" style="40" customWidth="1"/>
    <col min="6" max="6" width="27.85546875" style="9" customWidth="1"/>
    <col min="7" max="7" width="11.5703125" style="9" customWidth="1"/>
    <col min="8" max="8" width="29.5703125" style="9" customWidth="1"/>
    <col min="9" max="9" width="12" style="40" customWidth="1"/>
    <col min="10" max="10" width="26" style="9" customWidth="1"/>
    <col min="11" max="11" width="19.7109375" style="40" customWidth="1"/>
    <col min="12" max="12" width="23.5703125" style="40" customWidth="1"/>
    <col min="13" max="13" width="17.5703125" style="9" customWidth="1"/>
    <col min="14" max="14" width="27.7109375" style="40" customWidth="1"/>
    <col min="15" max="16" width="14.42578125" style="9" customWidth="1"/>
    <col min="17" max="17" width="14.85546875" style="9" customWidth="1"/>
    <col min="18" max="16384" width="9.140625" style="9"/>
  </cols>
  <sheetData>
    <row r="1" spans="2:16" s="1" customFormat="1" ht="25.5" customHeight="1" thickBot="1" x14ac:dyDescent="0.3">
      <c r="E1" s="17"/>
      <c r="I1" s="17"/>
      <c r="K1" s="17"/>
      <c r="L1" s="17"/>
      <c r="N1" s="17"/>
    </row>
    <row r="2" spans="2:16" ht="39.75" customHeight="1" thickBot="1" x14ac:dyDescent="0.3">
      <c r="B2" s="191" t="s">
        <v>43</v>
      </c>
      <c r="C2" s="192"/>
      <c r="D2" s="192"/>
      <c r="E2" s="192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2"/>
    </row>
    <row r="3" spans="2:16" ht="29.2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2:16" ht="17.25" customHeight="1" thickBot="1" x14ac:dyDescent="0.3">
      <c r="G4" s="40"/>
      <c r="H4" s="40"/>
      <c r="J4" s="40"/>
    </row>
    <row r="5" spans="2:16" ht="18" thickBot="1" x14ac:dyDescent="0.35">
      <c r="B5" s="40"/>
      <c r="C5" s="70" t="s">
        <v>44</v>
      </c>
      <c r="D5" s="73" t="s">
        <v>45</v>
      </c>
      <c r="E5" s="72"/>
      <c r="F5" s="72" t="s">
        <v>58</v>
      </c>
      <c r="G5" s="40"/>
      <c r="H5" s="119" t="s">
        <v>61</v>
      </c>
      <c r="J5" s="40" t="s">
        <v>61</v>
      </c>
    </row>
    <row r="6" spans="2:16" ht="17.25" x14ac:dyDescent="0.3">
      <c r="B6" s="40"/>
      <c r="C6" s="71" t="s">
        <v>46</v>
      </c>
      <c r="D6" s="74" t="str">
        <f>VLOOKUP(F6,$M$6:$N$39,2,0)</f>
        <v>Brasil</v>
      </c>
      <c r="E6" s="76">
        <f>VLOOKUP(D6,$H$6:$I$39,2,0)</f>
        <v>1</v>
      </c>
      <c r="F6" s="79">
        <f>VLOOKUP(1,$K$6:$M$39,3,0)</f>
        <v>11464978507.51202</v>
      </c>
      <c r="G6" s="5"/>
      <c r="H6" s="75" t="str">
        <f>J6</f>
        <v>Argentina + Uruguay</v>
      </c>
      <c r="I6" s="75">
        <v>0</v>
      </c>
      <c r="J6" s="40" t="s">
        <v>15</v>
      </c>
      <c r="K6" s="40">
        <f>RANK(M6,$M$6:$M$39)</f>
        <v>7</v>
      </c>
      <c r="L6" s="40">
        <v>1215206498.9998524</v>
      </c>
      <c r="M6" s="77">
        <f xml:space="preserve"> L6 + 0.034</f>
        <v>1215206499.0338523</v>
      </c>
      <c r="N6" s="75" t="str">
        <f t="shared" ref="N6:N39" si="0">H6</f>
        <v>Argentina + Uruguay</v>
      </c>
    </row>
    <row r="7" spans="2:16" ht="17.25" x14ac:dyDescent="0.3">
      <c r="B7" s="40"/>
      <c r="C7" s="65" t="s">
        <v>47</v>
      </c>
      <c r="D7" s="3" t="str">
        <f>VLOOKUP(F7,$M$6:$N$39,2,0)</f>
        <v>Pakistan</v>
      </c>
      <c r="E7" s="60">
        <f>VLOOKUP(D7,$H$6:$I$39,2,0)</f>
        <v>7</v>
      </c>
      <c r="F7" s="3">
        <f>VLOOKUP(2,$K$6:$M$39,3,0)</f>
        <v>9915527431.5327587</v>
      </c>
      <c r="G7" s="40"/>
      <c r="H7" s="75" t="str">
        <f t="shared" ref="H7:H39" si="1">J7</f>
        <v>Brasil</v>
      </c>
      <c r="I7" s="75">
        <v>1</v>
      </c>
      <c r="J7" s="40" t="s">
        <v>57</v>
      </c>
      <c r="K7" s="40">
        <f>RANK(M7,$M$6:$M$39)</f>
        <v>1</v>
      </c>
      <c r="L7" s="40">
        <v>11464978507.479019</v>
      </c>
      <c r="M7" s="78">
        <f xml:space="preserve"> L7 + 0.033</f>
        <v>11464978507.51202</v>
      </c>
      <c r="N7" s="75" t="str">
        <f t="shared" si="0"/>
        <v>Brasil</v>
      </c>
      <c r="O7" s="40"/>
    </row>
    <row r="8" spans="2:16" ht="18" thickBot="1" x14ac:dyDescent="0.35">
      <c r="B8" s="40"/>
      <c r="C8" s="66" t="s">
        <v>48</v>
      </c>
      <c r="D8" s="4" t="str">
        <f t="shared" ref="D8:D39" si="2">VLOOKUP(F8,$M$6:$N$39,2,0)</f>
        <v>India</v>
      </c>
      <c r="E8" s="61">
        <f t="shared" ref="E8:E39" si="3">VLOOKUP(D8,$H$6:$I$39,2,0)</f>
        <v>4</v>
      </c>
      <c r="F8" s="4">
        <f>VLOOKUP(3,$K$6:$M$39,3,0)</f>
        <v>9867836065.5246029</v>
      </c>
      <c r="G8" s="40"/>
      <c r="H8" s="75" t="str">
        <f t="shared" si="1"/>
        <v>Chile</v>
      </c>
      <c r="I8" s="75">
        <v>2</v>
      </c>
      <c r="J8" s="40" t="s">
        <v>14</v>
      </c>
      <c r="K8" s="40">
        <f t="shared" ref="K8:K39" si="4">RANK(M8,$M$6:$M$39)</f>
        <v>5</v>
      </c>
      <c r="L8" s="40">
        <v>4025002943.4987354</v>
      </c>
      <c r="M8" s="78">
        <f xml:space="preserve"> L8 + 0.032</f>
        <v>4025002943.5307355</v>
      </c>
      <c r="N8" s="75" t="str">
        <f t="shared" si="0"/>
        <v>Chile</v>
      </c>
      <c r="O8" s="40"/>
      <c r="P8" s="5"/>
    </row>
    <row r="9" spans="2:16" ht="17.25" x14ac:dyDescent="0.3">
      <c r="B9" s="40"/>
      <c r="C9" s="67" t="s">
        <v>49</v>
      </c>
      <c r="D9" s="6" t="str">
        <f t="shared" si="2"/>
        <v>Colombia</v>
      </c>
      <c r="E9" s="62">
        <f t="shared" si="3"/>
        <v>3</v>
      </c>
      <c r="F9" s="6">
        <f>VLOOKUP(4,$K$6:$M$39,3,0)</f>
        <v>6401370678.0352182</v>
      </c>
      <c r="G9" s="40"/>
      <c r="H9" s="75" t="str">
        <f t="shared" si="1"/>
        <v>Colombia</v>
      </c>
      <c r="I9" s="75">
        <v>3</v>
      </c>
      <c r="J9" s="40" t="s">
        <v>11</v>
      </c>
      <c r="K9" s="40">
        <f t="shared" si="4"/>
        <v>4</v>
      </c>
      <c r="L9" s="40">
        <v>6401370678.0042181</v>
      </c>
      <c r="M9" s="77">
        <f xml:space="preserve"> L9 + 0.031</f>
        <v>6401370678.0352182</v>
      </c>
      <c r="N9" s="75" t="str">
        <f t="shared" si="0"/>
        <v>Colombia</v>
      </c>
      <c r="O9" s="40"/>
    </row>
    <row r="10" spans="2:16" ht="17.25" x14ac:dyDescent="0.3">
      <c r="B10" s="40"/>
      <c r="C10" s="67" t="s">
        <v>50</v>
      </c>
      <c r="D10" s="6" t="str">
        <f t="shared" si="2"/>
        <v>Chile</v>
      </c>
      <c r="E10" s="62">
        <f t="shared" si="3"/>
        <v>2</v>
      </c>
      <c r="F10" s="6">
        <f>VLOOKUP(5,$K$6:$M$39,3,0)</f>
        <v>4025002943.5307355</v>
      </c>
      <c r="G10" s="40"/>
      <c r="H10" s="75" t="str">
        <f t="shared" si="1"/>
        <v>India</v>
      </c>
      <c r="I10" s="75">
        <v>4</v>
      </c>
      <c r="J10" s="40" t="s">
        <v>19</v>
      </c>
      <c r="K10" s="40">
        <f t="shared" si="4"/>
        <v>3</v>
      </c>
      <c r="L10" s="40">
        <v>9867836065.4946022</v>
      </c>
      <c r="M10" s="78">
        <f xml:space="preserve"> L10 + 0.03</f>
        <v>9867836065.5246029</v>
      </c>
      <c r="N10" s="75" t="str">
        <f t="shared" si="0"/>
        <v>India</v>
      </c>
      <c r="O10" s="40"/>
    </row>
    <row r="11" spans="2:16" ht="18" thickBot="1" x14ac:dyDescent="0.35">
      <c r="B11" s="40"/>
      <c r="C11" s="67" t="s">
        <v>51</v>
      </c>
      <c r="D11" s="6" t="str">
        <f t="shared" si="2"/>
        <v>Mexico</v>
      </c>
      <c r="E11" s="62">
        <f t="shared" si="3"/>
        <v>6</v>
      </c>
      <c r="F11" s="6">
        <f>VLOOKUP(6,$K$6:$M$39,3,0)</f>
        <v>2990505760.0276866</v>
      </c>
      <c r="G11" s="40"/>
      <c r="H11" s="75" t="str">
        <f t="shared" si="1"/>
        <v>Malaysia + Singapore</v>
      </c>
      <c r="I11" s="75">
        <v>5</v>
      </c>
      <c r="J11" s="40" t="s">
        <v>13</v>
      </c>
      <c r="K11" s="40">
        <f t="shared" si="4"/>
        <v>8</v>
      </c>
      <c r="L11" s="40">
        <v>1067033825.0001954</v>
      </c>
      <c r="M11" s="78">
        <f xml:space="preserve"> L11 + 0.029</f>
        <v>1067033825.0291954</v>
      </c>
      <c r="N11" s="75" t="str">
        <f t="shared" si="0"/>
        <v>Malaysia + Singapore</v>
      </c>
      <c r="O11" s="40"/>
    </row>
    <row r="12" spans="2:16" ht="17.25" x14ac:dyDescent="0.3">
      <c r="B12" s="40"/>
      <c r="C12" s="67" t="s">
        <v>52</v>
      </c>
      <c r="D12" s="6" t="str">
        <f t="shared" si="2"/>
        <v>Argentina + Uruguay</v>
      </c>
      <c r="E12" s="62">
        <f t="shared" si="3"/>
        <v>0</v>
      </c>
      <c r="F12" s="6">
        <f>VLOOKUP(7,$K$6:$M$39,3,0)</f>
        <v>1215206499.0338523</v>
      </c>
      <c r="G12" s="40"/>
      <c r="H12" s="75" t="str">
        <f t="shared" si="1"/>
        <v>Mexico</v>
      </c>
      <c r="I12" s="75">
        <v>6</v>
      </c>
      <c r="J12" s="40" t="s">
        <v>12</v>
      </c>
      <c r="K12" s="40">
        <f t="shared" si="4"/>
        <v>6</v>
      </c>
      <c r="L12" s="40">
        <v>2990505759.9996867</v>
      </c>
      <c r="M12" s="77">
        <f xml:space="preserve"> L12 + 0.028</f>
        <v>2990505760.0276866</v>
      </c>
      <c r="N12" s="75" t="str">
        <f t="shared" si="0"/>
        <v>Mexico</v>
      </c>
      <c r="O12" s="40"/>
    </row>
    <row r="13" spans="2:16" ht="17.25" x14ac:dyDescent="0.3">
      <c r="B13" s="40"/>
      <c r="C13" s="67" t="s">
        <v>53</v>
      </c>
      <c r="D13" s="6" t="str">
        <f t="shared" si="2"/>
        <v>Malaysia + Singapore</v>
      </c>
      <c r="E13" s="62">
        <f t="shared" si="3"/>
        <v>5</v>
      </c>
      <c r="F13" s="6">
        <f>VLOOKUP(8,$K$6:$M$39,3,0)</f>
        <v>1067033825.0291954</v>
      </c>
      <c r="G13" s="40"/>
      <c r="H13" s="75" t="str">
        <f t="shared" si="1"/>
        <v>Pakistan</v>
      </c>
      <c r="I13" s="75">
        <v>7</v>
      </c>
      <c r="J13" s="40" t="s">
        <v>20</v>
      </c>
      <c r="K13" s="40">
        <f t="shared" si="4"/>
        <v>2</v>
      </c>
      <c r="L13" s="40">
        <v>9915527431.5057583</v>
      </c>
      <c r="M13" s="78">
        <f xml:space="preserve"> L13 + 0.027</f>
        <v>9915527431.5327587</v>
      </c>
      <c r="N13" s="75" t="str">
        <f t="shared" si="0"/>
        <v>Pakistan</v>
      </c>
      <c r="O13" s="40"/>
    </row>
    <row r="14" spans="2:16" ht="18" thickBot="1" x14ac:dyDescent="0.35">
      <c r="B14" s="40"/>
      <c r="C14" s="68" t="s">
        <v>54</v>
      </c>
      <c r="D14" s="7" t="str">
        <f t="shared" si="2"/>
        <v>United States</v>
      </c>
      <c r="E14" s="63">
        <f t="shared" si="3"/>
        <v>10</v>
      </c>
      <c r="F14" s="7">
        <f>VLOOKUP(9,$K$6:$M$39,3,0)</f>
        <v>61984.023999999998</v>
      </c>
      <c r="G14" s="40"/>
      <c r="H14" s="75" t="str">
        <f t="shared" si="1"/>
        <v>Philippines</v>
      </c>
      <c r="I14" s="75">
        <v>8</v>
      </c>
      <c r="J14" s="40" t="s">
        <v>16</v>
      </c>
      <c r="K14" s="40">
        <f t="shared" si="4"/>
        <v>10</v>
      </c>
      <c r="L14" s="40">
        <v>36260</v>
      </c>
      <c r="M14" s="78">
        <f xml:space="preserve"> L14 + 0.026</f>
        <v>36260.025999999998</v>
      </c>
      <c r="N14" s="75" t="str">
        <f t="shared" si="0"/>
        <v>Philippines</v>
      </c>
      <c r="O14" s="40"/>
    </row>
    <row r="15" spans="2:16" ht="17.25" x14ac:dyDescent="0.3">
      <c r="B15" s="40"/>
      <c r="C15" s="68" t="s">
        <v>55</v>
      </c>
      <c r="D15" s="7" t="str">
        <f t="shared" si="2"/>
        <v>Philippines</v>
      </c>
      <c r="E15" s="63">
        <f t="shared" si="3"/>
        <v>8</v>
      </c>
      <c r="F15" s="7">
        <f>VLOOKUP(10,$K$6:$M$39,3,0)</f>
        <v>36260.025999999998</v>
      </c>
      <c r="G15" s="40"/>
      <c r="H15" s="75" t="str">
        <f t="shared" si="1"/>
        <v>Taiwan</v>
      </c>
      <c r="I15" s="75">
        <v>9</v>
      </c>
      <c r="J15" s="40" t="s">
        <v>17</v>
      </c>
      <c r="K15" s="40">
        <f t="shared" si="4"/>
        <v>11</v>
      </c>
      <c r="L15" s="40">
        <v>6017.0000000032996</v>
      </c>
      <c r="M15" s="77">
        <f xml:space="preserve"> L15 + 0.025</f>
        <v>6017.0250000032993</v>
      </c>
      <c r="N15" s="75" t="str">
        <f t="shared" si="0"/>
        <v>Taiwan</v>
      </c>
      <c r="O15" s="40"/>
    </row>
    <row r="16" spans="2:16" ht="17.25" x14ac:dyDescent="0.3">
      <c r="B16" s="40"/>
      <c r="C16" s="68" t="s">
        <v>56</v>
      </c>
      <c r="D16" s="7" t="str">
        <f t="shared" si="2"/>
        <v>Taiwan</v>
      </c>
      <c r="E16" s="63">
        <f t="shared" si="3"/>
        <v>9</v>
      </c>
      <c r="F16" s="7">
        <f>VLOOKUP(11,$K$6:$M$39,3,0)</f>
        <v>6017.0250000032993</v>
      </c>
      <c r="G16" s="40"/>
      <c r="H16" s="75" t="str">
        <f t="shared" si="1"/>
        <v>United States</v>
      </c>
      <c r="I16" s="75">
        <v>10</v>
      </c>
      <c r="J16" s="40" t="s">
        <v>18</v>
      </c>
      <c r="K16" s="40">
        <f>RANK(M16,$M$6:$M$39)</f>
        <v>9</v>
      </c>
      <c r="L16" s="40">
        <v>61984</v>
      </c>
      <c r="M16" s="78">
        <f xml:space="preserve"> L16 + 0.024</f>
        <v>61984.023999999998</v>
      </c>
      <c r="N16" s="75" t="str">
        <f t="shared" si="0"/>
        <v>United States</v>
      </c>
      <c r="O16" s="40"/>
    </row>
    <row r="17" spans="2:23" ht="18" thickBot="1" x14ac:dyDescent="0.35">
      <c r="C17" s="68" t="s">
        <v>74</v>
      </c>
      <c r="D17" s="7">
        <f t="shared" si="2"/>
        <v>0</v>
      </c>
      <c r="E17" s="63">
        <f>VLOOKUP(D17,$H$6:$I$39,2,0)</f>
        <v>11</v>
      </c>
      <c r="F17" s="7">
        <f>VLOOKUP(12,$K$6:$M$39,3,0)</f>
        <v>2.3E-2</v>
      </c>
      <c r="G17" s="40"/>
      <c r="H17" s="75">
        <f t="shared" si="1"/>
        <v>0</v>
      </c>
      <c r="I17" s="75">
        <v>11</v>
      </c>
      <c r="J17"/>
      <c r="K17" s="40">
        <f t="shared" si="4"/>
        <v>12</v>
      </c>
      <c r="M17" s="78">
        <f xml:space="preserve"> L17 + 0.023</f>
        <v>2.3E-2</v>
      </c>
      <c r="N17" s="75">
        <f t="shared" si="0"/>
        <v>0</v>
      </c>
      <c r="O17" s="40"/>
      <c r="P17" s="40"/>
      <c r="Q17" s="40"/>
      <c r="R17" s="40"/>
      <c r="S17" s="40"/>
      <c r="T17" s="40"/>
      <c r="U17" s="40"/>
      <c r="V17" s="40"/>
      <c r="W17" s="40"/>
    </row>
    <row r="18" spans="2:23" ht="17.25" x14ac:dyDescent="0.3">
      <c r="B18" s="40"/>
      <c r="C18" s="68" t="s">
        <v>75</v>
      </c>
      <c r="D18" s="7">
        <f t="shared" si="2"/>
        <v>0</v>
      </c>
      <c r="E18" s="63">
        <f t="shared" si="3"/>
        <v>11</v>
      </c>
      <c r="F18" s="7">
        <f>VLOOKUP(13,$K$6:$M$39,3,0)</f>
        <v>2.1999999999999999E-2</v>
      </c>
      <c r="H18" s="75">
        <f t="shared" si="1"/>
        <v>0</v>
      </c>
      <c r="I18" s="75">
        <v>12</v>
      </c>
      <c r="J18"/>
      <c r="K18" s="40">
        <f t="shared" si="4"/>
        <v>13</v>
      </c>
      <c r="M18" s="77">
        <f xml:space="preserve"> L18 + 0.022</f>
        <v>2.1999999999999999E-2</v>
      </c>
      <c r="N18" s="75">
        <f t="shared" si="0"/>
        <v>0</v>
      </c>
      <c r="O18" s="40"/>
      <c r="P18" s="40"/>
      <c r="Q18" s="40"/>
      <c r="R18" s="40"/>
      <c r="S18" s="40"/>
      <c r="T18" s="40"/>
      <c r="U18" s="40"/>
      <c r="V18" s="40"/>
      <c r="W18" s="40"/>
    </row>
    <row r="19" spans="2:23" ht="17.25" x14ac:dyDescent="0.3">
      <c r="B19" s="40"/>
      <c r="C19" s="68" t="s">
        <v>76</v>
      </c>
      <c r="D19" s="7">
        <f t="shared" si="2"/>
        <v>0</v>
      </c>
      <c r="E19" s="63">
        <f t="shared" si="3"/>
        <v>11</v>
      </c>
      <c r="F19" s="7">
        <f>VLOOKUP(14,$K$6:$M$39,3,0)</f>
        <v>2.1000000000000001E-2</v>
      </c>
      <c r="H19" s="75">
        <f t="shared" si="1"/>
        <v>0</v>
      </c>
      <c r="I19" s="75">
        <v>13</v>
      </c>
      <c r="J19"/>
      <c r="K19" s="40">
        <f t="shared" si="4"/>
        <v>14</v>
      </c>
      <c r="M19" s="78">
        <f xml:space="preserve"> L19 + 0.021</f>
        <v>2.1000000000000001E-2</v>
      </c>
      <c r="N19" s="75">
        <f t="shared" si="0"/>
        <v>0</v>
      </c>
      <c r="O19" s="40"/>
      <c r="P19" s="40"/>
      <c r="Q19" s="40"/>
      <c r="R19" s="40"/>
      <c r="S19" s="40"/>
      <c r="T19" s="40"/>
      <c r="U19" s="40"/>
      <c r="V19" s="40"/>
      <c r="W19" s="40"/>
    </row>
    <row r="20" spans="2:23" ht="18" thickBot="1" x14ac:dyDescent="0.35">
      <c r="B20" s="40"/>
      <c r="C20" s="68" t="s">
        <v>77</v>
      </c>
      <c r="D20" s="7">
        <f t="shared" si="2"/>
        <v>0</v>
      </c>
      <c r="E20" s="63">
        <f t="shared" si="3"/>
        <v>11</v>
      </c>
      <c r="F20" s="7">
        <f>VLOOKUP(15,$K$6:$M$39,3,0)</f>
        <v>0.02</v>
      </c>
      <c r="G20" s="40"/>
      <c r="H20" s="75">
        <f t="shared" si="1"/>
        <v>0</v>
      </c>
      <c r="I20" s="75">
        <v>14</v>
      </c>
      <c r="J20"/>
      <c r="K20" s="40">
        <f t="shared" si="4"/>
        <v>15</v>
      </c>
      <c r="M20" s="78">
        <f xml:space="preserve"> L20 + 0.02</f>
        <v>0.02</v>
      </c>
      <c r="N20" s="75">
        <f t="shared" si="0"/>
        <v>0</v>
      </c>
      <c r="O20" s="40"/>
      <c r="P20" s="40"/>
      <c r="Q20" s="40"/>
      <c r="R20" s="40"/>
      <c r="S20" s="40"/>
      <c r="T20" s="40"/>
      <c r="U20" s="40"/>
      <c r="V20" s="40"/>
      <c r="W20" s="40"/>
    </row>
    <row r="21" spans="2:23" ht="17.25" x14ac:dyDescent="0.3">
      <c r="B21" s="40"/>
      <c r="C21" s="68" t="s">
        <v>78</v>
      </c>
      <c r="D21" s="7">
        <f t="shared" si="2"/>
        <v>0</v>
      </c>
      <c r="E21" s="63">
        <f t="shared" si="3"/>
        <v>11</v>
      </c>
      <c r="F21" s="7">
        <f>VLOOKUP(16,$K$6:$M$39,3,0)</f>
        <v>1.9E-2</v>
      </c>
      <c r="G21" s="40"/>
      <c r="H21" s="75">
        <f t="shared" si="1"/>
        <v>0</v>
      </c>
      <c r="I21" s="75">
        <v>15</v>
      </c>
      <c r="J21"/>
      <c r="K21" s="40">
        <f t="shared" si="4"/>
        <v>16</v>
      </c>
      <c r="M21" s="77">
        <f xml:space="preserve"> L21 + 0.019</f>
        <v>1.9E-2</v>
      </c>
      <c r="N21" s="75">
        <f t="shared" si="0"/>
        <v>0</v>
      </c>
      <c r="O21" s="40"/>
      <c r="P21" s="40"/>
      <c r="Q21" s="40"/>
      <c r="R21" s="40"/>
      <c r="S21" s="40"/>
      <c r="T21" s="40"/>
      <c r="U21" s="40"/>
      <c r="V21" s="40"/>
      <c r="W21" s="40"/>
    </row>
    <row r="22" spans="2:23" ht="17.25" x14ac:dyDescent="0.3">
      <c r="B22" s="40"/>
      <c r="C22" s="68" t="s">
        <v>79</v>
      </c>
      <c r="D22" s="7">
        <f t="shared" si="2"/>
        <v>0</v>
      </c>
      <c r="E22" s="63">
        <f t="shared" si="3"/>
        <v>11</v>
      </c>
      <c r="F22" s="7">
        <f>VLOOKUP(17,$K$6:$M$39,3,0)</f>
        <v>1.7999999999999999E-2</v>
      </c>
      <c r="G22" s="40"/>
      <c r="H22" s="75">
        <f t="shared" si="1"/>
        <v>0</v>
      </c>
      <c r="I22" s="75">
        <v>16</v>
      </c>
      <c r="J22"/>
      <c r="K22" s="40">
        <f t="shared" si="4"/>
        <v>17</v>
      </c>
      <c r="M22" s="78">
        <f xml:space="preserve"> L22 + 0.018</f>
        <v>1.7999999999999999E-2</v>
      </c>
      <c r="N22" s="75">
        <f t="shared" si="0"/>
        <v>0</v>
      </c>
      <c r="O22" s="40"/>
      <c r="P22" s="40"/>
      <c r="Q22" s="40"/>
      <c r="R22" s="40"/>
      <c r="S22" s="40"/>
      <c r="T22" s="40"/>
      <c r="U22" s="40"/>
      <c r="V22" s="40"/>
      <c r="W22" s="40"/>
    </row>
    <row r="23" spans="2:23" ht="18" thickBot="1" x14ac:dyDescent="0.35">
      <c r="B23" s="40"/>
      <c r="C23" s="68" t="s">
        <v>80</v>
      </c>
      <c r="D23" s="7">
        <f t="shared" si="2"/>
        <v>0</v>
      </c>
      <c r="E23" s="63">
        <f t="shared" si="3"/>
        <v>11</v>
      </c>
      <c r="F23" s="7">
        <f>VLOOKUP(18,$K$6:$M$39,3,0)</f>
        <v>1.7000000000000001E-2</v>
      </c>
      <c r="G23" s="40"/>
      <c r="H23" s="75">
        <f t="shared" si="1"/>
        <v>0</v>
      </c>
      <c r="I23" s="75">
        <v>17</v>
      </c>
      <c r="J23"/>
      <c r="K23" s="40">
        <f t="shared" si="4"/>
        <v>18</v>
      </c>
      <c r="M23" s="78">
        <f xml:space="preserve"> L23 + 0.017</f>
        <v>1.7000000000000001E-2</v>
      </c>
      <c r="N23" s="75">
        <f t="shared" si="0"/>
        <v>0</v>
      </c>
      <c r="O23" s="40"/>
      <c r="P23" s="40"/>
      <c r="Q23" s="40"/>
      <c r="R23" s="40"/>
      <c r="S23" s="40"/>
      <c r="T23" s="40"/>
      <c r="U23" s="40"/>
      <c r="V23" s="40"/>
      <c r="W23" s="40"/>
    </row>
    <row r="24" spans="2:23" ht="17.25" x14ac:dyDescent="0.3">
      <c r="B24" s="40"/>
      <c r="C24" s="68" t="s">
        <v>81</v>
      </c>
      <c r="D24" s="7">
        <f t="shared" si="2"/>
        <v>0</v>
      </c>
      <c r="E24" s="63">
        <f t="shared" si="3"/>
        <v>11</v>
      </c>
      <c r="F24" s="7">
        <f>VLOOKUP(19,$K$6:$M$39,3,0)</f>
        <v>1.6E-2</v>
      </c>
      <c r="G24" s="40"/>
      <c r="H24" s="75">
        <f t="shared" si="1"/>
        <v>0</v>
      </c>
      <c r="I24" s="75">
        <v>18</v>
      </c>
      <c r="J24"/>
      <c r="K24" s="40">
        <f t="shared" si="4"/>
        <v>19</v>
      </c>
      <c r="M24" s="77">
        <f xml:space="preserve"> L24 + 0.016</f>
        <v>1.6E-2</v>
      </c>
      <c r="N24" s="75">
        <f t="shared" si="0"/>
        <v>0</v>
      </c>
      <c r="O24" s="40"/>
      <c r="P24" s="40"/>
      <c r="Q24" s="40"/>
      <c r="R24" s="40"/>
      <c r="S24" s="40"/>
      <c r="T24" s="40"/>
      <c r="U24" s="40"/>
      <c r="V24" s="40"/>
      <c r="W24" s="40"/>
    </row>
    <row r="25" spans="2:23" ht="17.25" x14ac:dyDescent="0.3">
      <c r="B25" s="40"/>
      <c r="C25" s="68" t="s">
        <v>82</v>
      </c>
      <c r="D25" s="7">
        <f t="shared" si="2"/>
        <v>0</v>
      </c>
      <c r="E25" s="63">
        <f t="shared" si="3"/>
        <v>11</v>
      </c>
      <c r="F25" s="7">
        <f>VLOOKUP(20,$K$6:$M$39,3,0)</f>
        <v>1.4999999999999999E-2</v>
      </c>
      <c r="G25" s="40"/>
      <c r="H25" s="75">
        <f t="shared" si="1"/>
        <v>0</v>
      </c>
      <c r="I25" s="75">
        <v>19</v>
      </c>
      <c r="J25"/>
      <c r="K25" s="40">
        <f t="shared" si="4"/>
        <v>20</v>
      </c>
      <c r="M25" s="78">
        <f xml:space="preserve"> L25 + 0.015</f>
        <v>1.4999999999999999E-2</v>
      </c>
      <c r="N25" s="75">
        <f t="shared" si="0"/>
        <v>0</v>
      </c>
      <c r="O25" s="40"/>
      <c r="P25" s="40"/>
      <c r="Q25" s="40"/>
      <c r="R25" s="40"/>
      <c r="S25" s="40"/>
      <c r="T25" s="40"/>
      <c r="U25" s="40"/>
      <c r="V25" s="40"/>
      <c r="W25" s="40"/>
    </row>
    <row r="26" spans="2:23" ht="18" thickBot="1" x14ac:dyDescent="0.35">
      <c r="B26" s="40"/>
      <c r="C26" s="68" t="s">
        <v>91</v>
      </c>
      <c r="D26" s="7">
        <f t="shared" si="2"/>
        <v>0</v>
      </c>
      <c r="E26" s="63">
        <f t="shared" si="3"/>
        <v>11</v>
      </c>
      <c r="F26" s="7">
        <f>VLOOKUP(21,$K$6:$M$39,3,0)</f>
        <v>1.4E-2</v>
      </c>
      <c r="G26" s="40"/>
      <c r="H26" s="75">
        <f t="shared" si="1"/>
        <v>0</v>
      </c>
      <c r="I26" s="75">
        <v>20</v>
      </c>
      <c r="J26"/>
      <c r="K26" s="40">
        <f t="shared" si="4"/>
        <v>21</v>
      </c>
      <c r="M26" s="78">
        <f xml:space="preserve"> L26 + 0.014</f>
        <v>1.4E-2</v>
      </c>
      <c r="N26" s="75">
        <f t="shared" si="0"/>
        <v>0</v>
      </c>
      <c r="O26" s="40"/>
      <c r="P26" s="40"/>
      <c r="Q26" s="40"/>
      <c r="R26" s="40"/>
      <c r="S26" s="40"/>
      <c r="T26" s="40"/>
      <c r="U26" s="40"/>
      <c r="V26" s="40"/>
      <c r="W26" s="40"/>
    </row>
    <row r="27" spans="2:23" ht="17.25" x14ac:dyDescent="0.3">
      <c r="B27" s="40"/>
      <c r="C27" s="68" t="s">
        <v>92</v>
      </c>
      <c r="D27" s="7">
        <f t="shared" si="2"/>
        <v>0</v>
      </c>
      <c r="E27" s="63">
        <f t="shared" si="3"/>
        <v>11</v>
      </c>
      <c r="F27" s="7">
        <f>VLOOKUP(22,$K$6:$M$39,3,0)</f>
        <v>1.2999999999999999E-2</v>
      </c>
      <c r="G27" s="40"/>
      <c r="H27" s="75">
        <f t="shared" si="1"/>
        <v>0</v>
      </c>
      <c r="I27" s="75">
        <v>21</v>
      </c>
      <c r="J27"/>
      <c r="K27" s="40">
        <f t="shared" si="4"/>
        <v>22</v>
      </c>
      <c r="M27" s="77">
        <f xml:space="preserve"> L27 + 0.013</f>
        <v>1.2999999999999999E-2</v>
      </c>
      <c r="N27" s="75">
        <f t="shared" si="0"/>
        <v>0</v>
      </c>
      <c r="O27" s="40"/>
      <c r="P27" s="40"/>
      <c r="Q27" s="40"/>
      <c r="R27" s="40"/>
      <c r="S27" s="40"/>
      <c r="T27" s="40"/>
      <c r="U27" s="40"/>
      <c r="V27" s="40"/>
      <c r="W27" s="40"/>
    </row>
    <row r="28" spans="2:23" ht="17.25" x14ac:dyDescent="0.3">
      <c r="B28" s="40"/>
      <c r="C28" s="68" t="s">
        <v>93</v>
      </c>
      <c r="D28" s="7">
        <f t="shared" si="2"/>
        <v>0</v>
      </c>
      <c r="E28" s="63">
        <f t="shared" si="3"/>
        <v>11</v>
      </c>
      <c r="F28" s="7">
        <f>VLOOKUP(23,$K$6:$M$39,3,0)</f>
        <v>1.2E-2</v>
      </c>
      <c r="G28" s="40"/>
      <c r="H28" s="75">
        <f t="shared" si="1"/>
        <v>0</v>
      </c>
      <c r="I28" s="75">
        <v>22</v>
      </c>
      <c r="J28"/>
      <c r="K28" s="40">
        <f t="shared" si="4"/>
        <v>23</v>
      </c>
      <c r="M28" s="78">
        <f xml:space="preserve"> L28 + 0.012</f>
        <v>1.2E-2</v>
      </c>
      <c r="N28" s="75">
        <f t="shared" si="0"/>
        <v>0</v>
      </c>
      <c r="O28" s="40"/>
      <c r="P28" s="40"/>
      <c r="Q28" s="40"/>
      <c r="R28" s="40"/>
      <c r="S28" s="40"/>
      <c r="T28" s="40"/>
      <c r="U28" s="40"/>
      <c r="V28" s="40"/>
      <c r="W28" s="40"/>
    </row>
    <row r="29" spans="2:23" ht="18" thickBot="1" x14ac:dyDescent="0.35">
      <c r="B29" s="40"/>
      <c r="C29" s="68" t="s">
        <v>83</v>
      </c>
      <c r="D29" s="7">
        <f t="shared" si="2"/>
        <v>0</v>
      </c>
      <c r="E29" s="63">
        <f t="shared" si="3"/>
        <v>11</v>
      </c>
      <c r="F29" s="7">
        <f>VLOOKUP(24,$K$6:$M$39,3,0)</f>
        <v>1.0999999999999999E-2</v>
      </c>
      <c r="G29" s="40"/>
      <c r="H29" s="75">
        <f t="shared" si="1"/>
        <v>0</v>
      </c>
      <c r="I29" s="75">
        <v>23</v>
      </c>
      <c r="J29"/>
      <c r="K29" s="40">
        <f t="shared" si="4"/>
        <v>24</v>
      </c>
      <c r="M29" s="78">
        <f xml:space="preserve"> L29 + 0.011</f>
        <v>1.0999999999999999E-2</v>
      </c>
      <c r="N29" s="75">
        <f t="shared" si="0"/>
        <v>0</v>
      </c>
      <c r="O29" s="40"/>
      <c r="P29" s="40"/>
      <c r="Q29" s="40"/>
      <c r="R29" s="40"/>
      <c r="S29" s="40"/>
      <c r="T29" s="40"/>
      <c r="U29" s="40"/>
      <c r="V29" s="40"/>
      <c r="W29" s="40"/>
    </row>
    <row r="30" spans="2:23" ht="17.25" x14ac:dyDescent="0.3">
      <c r="B30" s="40"/>
      <c r="C30" s="68" t="s">
        <v>84</v>
      </c>
      <c r="D30" s="7">
        <f t="shared" si="2"/>
        <v>0</v>
      </c>
      <c r="E30" s="63">
        <f t="shared" si="3"/>
        <v>11</v>
      </c>
      <c r="F30" s="7">
        <f>VLOOKUP(25,$K$6:$M$39,3,0)</f>
        <v>0.01</v>
      </c>
      <c r="G30" s="40"/>
      <c r="H30" s="75">
        <f t="shared" si="1"/>
        <v>0</v>
      </c>
      <c r="I30" s="75">
        <v>24</v>
      </c>
      <c r="J30"/>
      <c r="K30" s="40">
        <f t="shared" si="4"/>
        <v>25</v>
      </c>
      <c r="M30" s="77">
        <f xml:space="preserve"> L30 + 0.01</f>
        <v>0.01</v>
      </c>
      <c r="N30" s="75">
        <f t="shared" si="0"/>
        <v>0</v>
      </c>
      <c r="O30" s="40"/>
      <c r="P30" s="40"/>
      <c r="Q30" s="40"/>
      <c r="R30" s="40"/>
      <c r="S30" s="40"/>
      <c r="T30" s="40"/>
      <c r="U30" s="40"/>
      <c r="V30" s="40"/>
      <c r="W30" s="40"/>
    </row>
    <row r="31" spans="2:23" ht="17.25" x14ac:dyDescent="0.3">
      <c r="B31" s="40"/>
      <c r="C31" s="68" t="s">
        <v>85</v>
      </c>
      <c r="D31" s="7">
        <f t="shared" si="2"/>
        <v>0</v>
      </c>
      <c r="E31" s="63">
        <f t="shared" si="3"/>
        <v>11</v>
      </c>
      <c r="F31" s="7">
        <f>VLOOKUP(26,$K$6:$M$39,3,0)</f>
        <v>8.9999999999999993E-3</v>
      </c>
      <c r="G31" s="40"/>
      <c r="H31" s="75">
        <f t="shared" si="1"/>
        <v>0</v>
      </c>
      <c r="I31" s="75">
        <v>25</v>
      </c>
      <c r="J31"/>
      <c r="K31" s="40">
        <f t="shared" si="4"/>
        <v>26</v>
      </c>
      <c r="M31" s="78">
        <f xml:space="preserve"> L31 + 0.009</f>
        <v>8.9999999999999993E-3</v>
      </c>
      <c r="N31" s="75">
        <f t="shared" si="0"/>
        <v>0</v>
      </c>
      <c r="O31" s="40"/>
    </row>
    <row r="32" spans="2:23" ht="18" thickBot="1" x14ac:dyDescent="0.35">
      <c r="B32" s="40"/>
      <c r="C32" s="68" t="s">
        <v>86</v>
      </c>
      <c r="D32" s="7">
        <f t="shared" si="2"/>
        <v>0</v>
      </c>
      <c r="E32" s="63">
        <f t="shared" si="3"/>
        <v>11</v>
      </c>
      <c r="F32" s="7">
        <f>VLOOKUP(27,$K$6:$M$39,3,0)</f>
        <v>8.0000000000000002E-3</v>
      </c>
      <c r="G32" s="40"/>
      <c r="H32" s="75">
        <f t="shared" si="1"/>
        <v>0</v>
      </c>
      <c r="I32" s="75">
        <v>26</v>
      </c>
      <c r="J32"/>
      <c r="K32" s="40">
        <f t="shared" si="4"/>
        <v>27</v>
      </c>
      <c r="M32" s="78">
        <f xml:space="preserve"> L32 + 0.008</f>
        <v>8.0000000000000002E-3</v>
      </c>
      <c r="N32" s="75">
        <f t="shared" si="0"/>
        <v>0</v>
      </c>
      <c r="O32" s="40"/>
    </row>
    <row r="33" spans="2:15" ht="17.25" x14ac:dyDescent="0.3">
      <c r="B33" s="40"/>
      <c r="C33" s="68" t="s">
        <v>87</v>
      </c>
      <c r="D33" s="7">
        <f t="shared" si="2"/>
        <v>0</v>
      </c>
      <c r="E33" s="63">
        <f t="shared" si="3"/>
        <v>11</v>
      </c>
      <c r="F33" s="7">
        <f>VLOOKUP(28,$K$6:$M$39,3,0)</f>
        <v>7.0000000000000001E-3</v>
      </c>
      <c r="G33" s="40"/>
      <c r="H33" s="75">
        <f t="shared" si="1"/>
        <v>0</v>
      </c>
      <c r="I33" s="75">
        <v>27</v>
      </c>
      <c r="J33"/>
      <c r="K33" s="40">
        <f t="shared" si="4"/>
        <v>28</v>
      </c>
      <c r="M33" s="77">
        <f xml:space="preserve"> L33 + 0.007</f>
        <v>7.0000000000000001E-3</v>
      </c>
      <c r="N33" s="75">
        <f t="shared" si="0"/>
        <v>0</v>
      </c>
      <c r="O33" s="40"/>
    </row>
    <row r="34" spans="2:15" ht="17.25" x14ac:dyDescent="0.3">
      <c r="B34" s="40"/>
      <c r="C34" s="68" t="s">
        <v>88</v>
      </c>
      <c r="D34" s="7">
        <f t="shared" si="2"/>
        <v>0</v>
      </c>
      <c r="E34" s="63">
        <f t="shared" si="3"/>
        <v>11</v>
      </c>
      <c r="F34" s="7">
        <f>VLOOKUP(29,$K$6:$M$39,3,0)</f>
        <v>6.0000000000000001E-3</v>
      </c>
      <c r="G34" s="40"/>
      <c r="H34" s="75">
        <f t="shared" si="1"/>
        <v>0</v>
      </c>
      <c r="I34" s="75">
        <v>28</v>
      </c>
      <c r="J34"/>
      <c r="K34" s="40">
        <f t="shared" si="4"/>
        <v>29</v>
      </c>
      <c r="M34" s="78">
        <f xml:space="preserve"> L34 + 0.006</f>
        <v>6.0000000000000001E-3</v>
      </c>
      <c r="N34" s="75">
        <f t="shared" si="0"/>
        <v>0</v>
      </c>
      <c r="O34" s="40"/>
    </row>
    <row r="35" spans="2:15" ht="18" thickBot="1" x14ac:dyDescent="0.35">
      <c r="B35" s="40"/>
      <c r="C35" s="68" t="s">
        <v>89</v>
      </c>
      <c r="D35" s="7">
        <f t="shared" si="2"/>
        <v>0</v>
      </c>
      <c r="E35" s="63">
        <f t="shared" si="3"/>
        <v>11</v>
      </c>
      <c r="F35" s="7">
        <f>VLOOKUP(30,$K$6:$M$39,3,0)</f>
        <v>5.0000000000000001E-3</v>
      </c>
      <c r="H35" s="75">
        <f t="shared" si="1"/>
        <v>0</v>
      </c>
      <c r="I35" s="75">
        <v>29</v>
      </c>
      <c r="J35"/>
      <c r="K35" s="40">
        <f t="shared" si="4"/>
        <v>30</v>
      </c>
      <c r="M35" s="78">
        <f xml:space="preserve"> L35 + 0.005</f>
        <v>5.0000000000000001E-3</v>
      </c>
      <c r="N35" s="75">
        <f t="shared" si="0"/>
        <v>0</v>
      </c>
      <c r="O35" s="40"/>
    </row>
    <row r="36" spans="2:15" ht="17.25" x14ac:dyDescent="0.3">
      <c r="B36" s="40"/>
      <c r="C36" s="68" t="s">
        <v>94</v>
      </c>
      <c r="D36" s="7">
        <f t="shared" si="2"/>
        <v>0</v>
      </c>
      <c r="E36" s="63">
        <f t="shared" si="3"/>
        <v>11</v>
      </c>
      <c r="F36" s="7">
        <f>VLOOKUP(31,$K$6:$M$39,3,0)</f>
        <v>4.0000000000000001E-3</v>
      </c>
      <c r="H36" s="75">
        <f t="shared" si="1"/>
        <v>0</v>
      </c>
      <c r="I36" s="75">
        <v>30</v>
      </c>
      <c r="J36"/>
      <c r="K36" s="40">
        <f t="shared" si="4"/>
        <v>31</v>
      </c>
      <c r="M36" s="77">
        <f xml:space="preserve"> L36 + 0.004</f>
        <v>4.0000000000000001E-3</v>
      </c>
      <c r="N36" s="75">
        <f t="shared" si="0"/>
        <v>0</v>
      </c>
      <c r="O36" s="40"/>
    </row>
    <row r="37" spans="2:15" ht="17.25" x14ac:dyDescent="0.3">
      <c r="B37" s="40"/>
      <c r="C37" s="68" t="s">
        <v>95</v>
      </c>
      <c r="D37" s="7">
        <f t="shared" si="2"/>
        <v>0</v>
      </c>
      <c r="E37" s="63">
        <f t="shared" si="3"/>
        <v>11</v>
      </c>
      <c r="F37" s="7">
        <f>VLOOKUP(32,$K$6:$M$39,3,0)</f>
        <v>3.0000000000000001E-3</v>
      </c>
      <c r="H37" s="75">
        <f t="shared" si="1"/>
        <v>0</v>
      </c>
      <c r="I37" s="75">
        <v>31</v>
      </c>
      <c r="J37"/>
      <c r="K37" s="40">
        <f t="shared" si="4"/>
        <v>32</v>
      </c>
      <c r="M37" s="78">
        <f xml:space="preserve"> L37 + 0.003</f>
        <v>3.0000000000000001E-3</v>
      </c>
      <c r="N37" s="75">
        <f t="shared" si="0"/>
        <v>0</v>
      </c>
      <c r="O37" s="40"/>
    </row>
    <row r="38" spans="2:15" ht="18" thickBot="1" x14ac:dyDescent="0.35">
      <c r="B38" s="40"/>
      <c r="C38" s="68" t="s">
        <v>96</v>
      </c>
      <c r="D38" s="7">
        <f t="shared" si="2"/>
        <v>0</v>
      </c>
      <c r="E38" s="63">
        <f t="shared" si="3"/>
        <v>11</v>
      </c>
      <c r="F38" s="7">
        <f>VLOOKUP(33,$K$6:$M$39,3,0)</f>
        <v>2E-3</v>
      </c>
      <c r="H38" s="75">
        <f t="shared" si="1"/>
        <v>0</v>
      </c>
      <c r="I38" s="75">
        <v>32</v>
      </c>
      <c r="J38"/>
      <c r="K38" s="40">
        <f t="shared" si="4"/>
        <v>33</v>
      </c>
      <c r="M38" s="78">
        <f xml:space="preserve"> L38 + 0.002</f>
        <v>2E-3</v>
      </c>
      <c r="N38" s="75">
        <f t="shared" si="0"/>
        <v>0</v>
      </c>
      <c r="O38" s="40"/>
    </row>
    <row r="39" spans="2:15" ht="18" thickBot="1" x14ac:dyDescent="0.35">
      <c r="B39" s="40"/>
      <c r="C39" s="69" t="s">
        <v>90</v>
      </c>
      <c r="D39" s="8">
        <f t="shared" si="2"/>
        <v>0</v>
      </c>
      <c r="E39" s="64">
        <f t="shared" si="3"/>
        <v>11</v>
      </c>
      <c r="F39" s="8">
        <f>VLOOKUP(34,$K$6:$M$39,3,0)</f>
        <v>1E-3</v>
      </c>
      <c r="H39" s="75">
        <f t="shared" si="1"/>
        <v>0</v>
      </c>
      <c r="I39" s="75">
        <v>33</v>
      </c>
      <c r="J39"/>
      <c r="K39" s="40">
        <f t="shared" si="4"/>
        <v>34</v>
      </c>
      <c r="M39" s="77">
        <f xml:space="preserve"> L39 + 0.001</f>
        <v>1E-3</v>
      </c>
      <c r="N39" s="75">
        <f t="shared" si="0"/>
        <v>0</v>
      </c>
      <c r="O39" s="40"/>
    </row>
    <row r="40" spans="2:15" x14ac:dyDescent="0.25">
      <c r="C40" s="40"/>
      <c r="D40" s="40"/>
      <c r="F40" s="40"/>
      <c r="H40"/>
      <c r="J40"/>
    </row>
    <row r="41" spans="2:15" x14ac:dyDescent="0.25">
      <c r="C41" s="40"/>
      <c r="D41" s="40"/>
      <c r="H41"/>
      <c r="J41"/>
    </row>
    <row r="42" spans="2:15" x14ac:dyDescent="0.25">
      <c r="C42" s="40"/>
      <c r="D42" s="40"/>
      <c r="H42"/>
      <c r="J42"/>
    </row>
    <row r="43" spans="2:15" x14ac:dyDescent="0.25">
      <c r="C43" s="40"/>
      <c r="D43" s="40"/>
      <c r="H43"/>
      <c r="J43"/>
    </row>
    <row r="44" spans="2:15" x14ac:dyDescent="0.25">
      <c r="C44" s="40"/>
      <c r="D44" s="40"/>
      <c r="H44"/>
      <c r="J44"/>
    </row>
    <row r="45" spans="2:15" x14ac:dyDescent="0.25">
      <c r="C45" s="40"/>
      <c r="D45" s="40"/>
      <c r="H45"/>
      <c r="J45"/>
    </row>
    <row r="46" spans="2:15" x14ac:dyDescent="0.25">
      <c r="C46" s="40"/>
      <c r="D46" s="40"/>
      <c r="H46"/>
      <c r="J46"/>
    </row>
    <row r="47" spans="2:15" x14ac:dyDescent="0.25">
      <c r="C47" s="40"/>
      <c r="D47" s="40"/>
      <c r="H47"/>
      <c r="J47"/>
    </row>
    <row r="48" spans="2:15" x14ac:dyDescent="0.25">
      <c r="C48" s="40"/>
      <c r="D48" s="40"/>
      <c r="H48"/>
      <c r="J48"/>
    </row>
    <row r="49" spans="3:10" x14ac:dyDescent="0.25">
      <c r="C49" s="40"/>
      <c r="H49"/>
      <c r="J49"/>
    </row>
    <row r="50" spans="3:10" x14ac:dyDescent="0.25">
      <c r="C50" s="40"/>
      <c r="H50"/>
      <c r="J50"/>
    </row>
    <row r="51" spans="3:10" x14ac:dyDescent="0.25">
      <c r="C51" s="40"/>
      <c r="H51"/>
      <c r="J51"/>
    </row>
    <row r="52" spans="3:10" x14ac:dyDescent="0.25">
      <c r="C52" s="40"/>
      <c r="H52"/>
      <c r="J52"/>
    </row>
    <row r="53" spans="3:10" x14ac:dyDescent="0.25">
      <c r="C53" s="40"/>
      <c r="H53"/>
    </row>
    <row r="54" spans="3:10" x14ac:dyDescent="0.25">
      <c r="C54" s="40"/>
    </row>
    <row r="55" spans="3:10" x14ac:dyDescent="0.25">
      <c r="C55" s="40"/>
    </row>
    <row r="56" spans="3:10" x14ac:dyDescent="0.25">
      <c r="C56" s="40"/>
    </row>
    <row r="57" spans="3:10" x14ac:dyDescent="0.25">
      <c r="C57" s="40"/>
    </row>
    <row r="58" spans="3:10" x14ac:dyDescent="0.25">
      <c r="C58" s="40"/>
    </row>
    <row r="59" spans="3:10" x14ac:dyDescent="0.25">
      <c r="C59" s="40"/>
    </row>
    <row r="60" spans="3:10" x14ac:dyDescent="0.25">
      <c r="C60" s="40"/>
    </row>
    <row r="61" spans="3:10" x14ac:dyDescent="0.25">
      <c r="C61" s="40"/>
    </row>
    <row r="62" spans="3:10" x14ac:dyDescent="0.25">
      <c r="C62" s="40"/>
    </row>
    <row r="63" spans="3:10" x14ac:dyDescent="0.25">
      <c r="C63" s="40"/>
    </row>
    <row r="64" spans="3:10" x14ac:dyDescent="0.25">
      <c r="C64" s="40"/>
    </row>
    <row r="65" spans="3:3" x14ac:dyDescent="0.25">
      <c r="C65" s="40"/>
    </row>
    <row r="66" spans="3:3" x14ac:dyDescent="0.25">
      <c r="C66" s="40"/>
    </row>
    <row r="67" spans="3:3" x14ac:dyDescent="0.25">
      <c r="C67" s="40"/>
    </row>
    <row r="68" spans="3:3" x14ac:dyDescent="0.25">
      <c r="C68" s="40"/>
    </row>
    <row r="69" spans="3:3" x14ac:dyDescent="0.25">
      <c r="C69" s="40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</sheetData>
  <mergeCells count="1">
    <mergeCell ref="B2:O2"/>
  </mergeCells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7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R3456"/>
  <sheetViews>
    <sheetView showGridLines="0" tabSelected="1" zoomScale="70" zoomScaleNormal="70" zoomScalePageLayoutView="70" workbookViewId="0">
      <selection activeCell="L21" sqref="L21"/>
    </sheetView>
  </sheetViews>
  <sheetFormatPr defaultRowHeight="15" x14ac:dyDescent="0.25"/>
  <cols>
    <col min="1" max="1" width="4.28515625" customWidth="1"/>
    <col min="2" max="3" width="17.7109375" customWidth="1"/>
    <col min="4" max="7" width="17.7109375" style="40" customWidth="1"/>
    <col min="8" max="9" width="17.7109375" customWidth="1"/>
    <col min="10" max="17" width="17.7109375" style="40" customWidth="1"/>
    <col min="18" max="19" width="17.7109375" customWidth="1"/>
    <col min="20" max="127" width="15.7109375" customWidth="1"/>
    <col min="128" max="189" width="16.7109375" customWidth="1"/>
    <col min="190" max="190" width="17.28515625" bestFit="1" customWidth="1"/>
    <col min="191" max="191" width="14.85546875" bestFit="1" customWidth="1"/>
    <col min="192" max="192" width="13.140625" customWidth="1"/>
    <col min="193" max="193" width="18.140625" bestFit="1" customWidth="1"/>
    <col min="194" max="194" width="12.42578125" bestFit="1" customWidth="1"/>
    <col min="195" max="195" width="16.85546875" bestFit="1" customWidth="1"/>
    <col min="196" max="196" width="14.85546875" bestFit="1" customWidth="1"/>
    <col min="197" max="197" width="15.42578125" bestFit="1" customWidth="1"/>
    <col min="198" max="198" width="17.42578125" bestFit="1" customWidth="1"/>
    <col min="199" max="199" width="18.140625" bestFit="1" customWidth="1"/>
    <col min="200" max="200" width="6.7109375" bestFit="1" customWidth="1"/>
    <col min="201" max="201" width="15.85546875" bestFit="1" customWidth="1"/>
    <col min="202" max="202" width="17.28515625" bestFit="1" customWidth="1"/>
    <col min="203" max="203" width="14.85546875" bestFit="1" customWidth="1"/>
    <col min="204" max="204" width="13.140625" customWidth="1"/>
    <col min="205" max="205" width="18.140625" bestFit="1" customWidth="1"/>
    <col min="206" max="206" width="12.42578125" bestFit="1" customWidth="1"/>
    <col min="207" max="207" width="16.85546875" bestFit="1" customWidth="1"/>
    <col min="208" max="208" width="14.85546875" bestFit="1" customWidth="1"/>
    <col min="209" max="209" width="15.42578125" bestFit="1" customWidth="1"/>
    <col min="210" max="210" width="17.42578125" bestFit="1" customWidth="1"/>
    <col min="211" max="211" width="18.140625" bestFit="1" customWidth="1"/>
    <col min="212" max="212" width="6.7109375" bestFit="1" customWidth="1"/>
    <col min="213" max="213" width="15.85546875" bestFit="1" customWidth="1"/>
    <col min="214" max="214" width="17.28515625" bestFit="1" customWidth="1"/>
    <col min="215" max="215" width="14.85546875" bestFit="1" customWidth="1"/>
    <col min="216" max="216" width="13.140625" customWidth="1"/>
    <col min="217" max="217" width="18.140625" bestFit="1" customWidth="1"/>
    <col min="218" max="218" width="12.42578125" bestFit="1" customWidth="1"/>
    <col min="219" max="219" width="16.85546875" bestFit="1" customWidth="1"/>
    <col min="220" max="220" width="14.85546875" bestFit="1" customWidth="1"/>
    <col min="221" max="221" width="15.42578125" bestFit="1" customWidth="1"/>
    <col min="222" max="222" width="17.42578125" bestFit="1" customWidth="1"/>
    <col min="223" max="223" width="18.140625" bestFit="1" customWidth="1"/>
    <col min="224" max="224" width="6.7109375" bestFit="1" customWidth="1"/>
    <col min="225" max="225" width="15.7109375" bestFit="1" customWidth="1"/>
    <col min="226" max="226" width="15.42578125" bestFit="1" customWidth="1"/>
    <col min="227" max="227" width="14.5703125" bestFit="1" customWidth="1"/>
    <col min="228" max="228" width="13" bestFit="1" customWidth="1"/>
    <col min="229" max="229" width="12.85546875" bestFit="1" customWidth="1"/>
    <col min="230" max="230" width="12.42578125" bestFit="1" customWidth="1"/>
    <col min="231" max="231" width="14.85546875" bestFit="1" customWidth="1"/>
    <col min="232" max="232" width="14.5703125" bestFit="1" customWidth="1"/>
    <col min="233" max="233" width="15.28515625" bestFit="1" customWidth="1"/>
    <col min="234" max="235" width="12.85546875" bestFit="1" customWidth="1"/>
    <col min="236" max="236" width="6.7109375" bestFit="1" customWidth="1"/>
    <col min="237" max="273" width="11.140625" customWidth="1"/>
    <col min="274" max="274" width="14" bestFit="1" customWidth="1"/>
    <col min="275" max="275" width="13.140625" bestFit="1" customWidth="1"/>
    <col min="276" max="283" width="13.140625" customWidth="1"/>
    <col min="284" max="284" width="11" bestFit="1" customWidth="1"/>
    <col min="285" max="285" width="15.85546875" bestFit="1" customWidth="1"/>
    <col min="286" max="286" width="15.7109375" bestFit="1" customWidth="1"/>
    <col min="287" max="287" width="17.28515625" bestFit="1" customWidth="1"/>
    <col min="288" max="288" width="14.85546875" bestFit="1" customWidth="1"/>
    <col min="289" max="289" width="13.140625" customWidth="1"/>
    <col min="290" max="290" width="18.140625" bestFit="1" customWidth="1"/>
    <col min="291" max="291" width="12.42578125" bestFit="1" customWidth="1"/>
    <col min="292" max="292" width="16.85546875" bestFit="1" customWidth="1"/>
    <col min="293" max="293" width="14.85546875" bestFit="1" customWidth="1"/>
    <col min="294" max="294" width="15.42578125" bestFit="1" customWidth="1"/>
    <col min="295" max="295" width="17.42578125" bestFit="1" customWidth="1"/>
    <col min="296" max="296" width="18.140625" bestFit="1" customWidth="1"/>
    <col min="297" max="297" width="6.7109375" bestFit="1" customWidth="1"/>
    <col min="298" max="298" width="15.85546875" bestFit="1" customWidth="1"/>
    <col min="299" max="299" width="17.28515625" bestFit="1" customWidth="1"/>
    <col min="300" max="300" width="14.85546875" bestFit="1" customWidth="1"/>
    <col min="301" max="301" width="13.140625" customWidth="1"/>
    <col min="302" max="302" width="18.140625" bestFit="1" customWidth="1"/>
    <col min="303" max="303" width="12.42578125" bestFit="1" customWidth="1"/>
    <col min="304" max="304" width="16.85546875" bestFit="1" customWidth="1"/>
    <col min="305" max="305" width="14.85546875" bestFit="1" customWidth="1"/>
    <col min="306" max="306" width="15.42578125" bestFit="1" customWidth="1"/>
    <col min="307" max="307" width="17.42578125" bestFit="1" customWidth="1"/>
    <col min="308" max="308" width="18.140625" bestFit="1" customWidth="1"/>
    <col min="309" max="309" width="6.7109375" bestFit="1" customWidth="1"/>
    <col min="310" max="310" width="15.85546875" bestFit="1" customWidth="1"/>
    <col min="311" max="311" width="15.7109375" bestFit="1" customWidth="1"/>
    <col min="312" max="312" width="14.85546875" bestFit="1" customWidth="1"/>
    <col min="313" max="313" width="13" bestFit="1" customWidth="1"/>
    <col min="314" max="314" width="12.85546875" bestFit="1" customWidth="1"/>
    <col min="315" max="315" width="12.42578125" bestFit="1" customWidth="1"/>
    <col min="316" max="316" width="15" bestFit="1" customWidth="1"/>
    <col min="317" max="317" width="14.85546875" bestFit="1" customWidth="1"/>
    <col min="318" max="318" width="15.42578125" bestFit="1" customWidth="1"/>
    <col min="319" max="320" width="12.85546875" bestFit="1" customWidth="1"/>
    <col min="321" max="321" width="6.7109375" bestFit="1" customWidth="1"/>
    <col min="322" max="706" width="11.140625" customWidth="1"/>
    <col min="707" max="707" width="14" bestFit="1" customWidth="1"/>
    <col min="708" max="708" width="13.140625" bestFit="1" customWidth="1"/>
    <col min="709" max="716" width="13.140625" customWidth="1"/>
    <col min="717" max="717" width="11" bestFit="1" customWidth="1"/>
    <col min="718" max="718" width="15.85546875" bestFit="1" customWidth="1"/>
    <col min="719" max="719" width="15.7109375" bestFit="1" customWidth="1"/>
    <col min="720" max="720" width="14.85546875" bestFit="1" customWidth="1"/>
    <col min="721" max="721" width="13" bestFit="1" customWidth="1"/>
    <col min="722" max="722" width="12.85546875" bestFit="1" customWidth="1"/>
    <col min="723" max="723" width="12.42578125" bestFit="1" customWidth="1"/>
    <col min="724" max="724" width="15" bestFit="1" customWidth="1"/>
    <col min="725" max="725" width="14.85546875" bestFit="1" customWidth="1"/>
    <col min="726" max="726" width="15.42578125" bestFit="1" customWidth="1"/>
    <col min="727" max="728" width="12.85546875" bestFit="1" customWidth="1"/>
    <col min="729" max="729" width="9.42578125" customWidth="1"/>
    <col min="730" max="754" width="11.140625" customWidth="1"/>
    <col min="755" max="755" width="14" bestFit="1" customWidth="1"/>
    <col min="756" max="756" width="13.140625" bestFit="1" customWidth="1"/>
    <col min="757" max="764" width="13.140625" customWidth="1"/>
    <col min="765" max="765" width="11" bestFit="1" customWidth="1"/>
    <col min="766" max="767" width="10.28515625" bestFit="1" customWidth="1"/>
    <col min="768" max="768" width="9.140625" bestFit="1" customWidth="1"/>
    <col min="769" max="769" width="13" bestFit="1" customWidth="1"/>
    <col min="770" max="770" width="12.85546875" bestFit="1" customWidth="1"/>
    <col min="771" max="771" width="12.42578125" bestFit="1" customWidth="1"/>
    <col min="772" max="772" width="13.140625" bestFit="1" customWidth="1"/>
    <col min="773" max="773" width="11.140625" bestFit="1" customWidth="1"/>
    <col min="774" max="774" width="14.28515625" bestFit="1" customWidth="1"/>
    <col min="775" max="776" width="12.85546875" bestFit="1" customWidth="1"/>
    <col min="777" max="777" width="6.7109375" bestFit="1" customWidth="1"/>
    <col min="778" max="885" width="10.140625" customWidth="1"/>
    <col min="904" max="904" width="5.7109375" customWidth="1"/>
    <col min="905" max="909" width="20" customWidth="1"/>
    <col min="910" max="1200" width="10.28515625" customWidth="1"/>
    <col min="1201" max="1201" width="11.85546875" customWidth="1"/>
    <col min="1202" max="1213" width="13.42578125" customWidth="1"/>
    <col min="1214" max="1214" width="13.5703125" customWidth="1"/>
    <col min="1215" max="1215" width="12.140625" customWidth="1"/>
    <col min="1216" max="1216" width="15.7109375" customWidth="1"/>
    <col min="1217" max="1218" width="11.5703125" customWidth="1"/>
    <col min="1219" max="1220" width="13.28515625" customWidth="1"/>
    <col min="1221" max="1221" width="16.7109375" customWidth="1"/>
    <col min="1222" max="1222" width="12.7109375" customWidth="1"/>
    <col min="1223" max="1223" width="14.85546875" customWidth="1"/>
    <col min="1224" max="1225" width="14.42578125" customWidth="1"/>
    <col min="1226" max="1226" width="14.85546875" customWidth="1"/>
  </cols>
  <sheetData>
    <row r="1" spans="1:18" ht="15.75" thickBot="1" x14ac:dyDescent="0.3">
      <c r="A1" s="40"/>
      <c r="B1" s="40"/>
      <c r="C1" s="40"/>
      <c r="H1" s="40"/>
      <c r="I1" s="40"/>
      <c r="R1" s="40"/>
    </row>
    <row r="2" spans="1:18" ht="40.5" customHeight="1" thickBot="1" x14ac:dyDescent="0.3">
      <c r="A2" s="41"/>
      <c r="B2" s="191" t="s">
        <v>73</v>
      </c>
      <c r="C2" s="192"/>
      <c r="D2" s="192"/>
      <c r="E2" s="192"/>
      <c r="F2" s="192"/>
      <c r="G2" s="192"/>
      <c r="H2" s="192"/>
      <c r="I2" s="193"/>
      <c r="J2" s="193"/>
      <c r="K2" s="193"/>
      <c r="L2" s="193"/>
      <c r="M2" s="193"/>
      <c r="N2" s="193"/>
      <c r="O2" s="193"/>
      <c r="P2" s="193"/>
      <c r="Q2" s="193"/>
      <c r="R2" s="193"/>
    </row>
    <row r="3" spans="1:18" x14ac:dyDescent="0.25">
      <c r="A3" s="40"/>
      <c r="B3" s="40"/>
      <c r="C3" s="40"/>
      <c r="H3" s="40"/>
      <c r="I3" s="40"/>
      <c r="R3" s="40"/>
    </row>
    <row r="4" spans="1:18" ht="18" customHeight="1" x14ac:dyDescent="0.25">
      <c r="A4" s="40"/>
      <c r="B4" s="40"/>
      <c r="C4" s="40"/>
      <c r="H4" s="40"/>
      <c r="I4" s="40"/>
      <c r="R4" s="40"/>
    </row>
    <row r="5" spans="1:18" ht="15.75" thickBot="1" x14ac:dyDescent="0.3">
      <c r="A5" s="40"/>
      <c r="B5" s="40"/>
      <c r="C5" s="40"/>
      <c r="H5" s="40"/>
      <c r="I5" s="40"/>
      <c r="R5" s="40"/>
    </row>
    <row r="6" spans="1:18" ht="24" thickBot="1" x14ac:dyDescent="0.4">
      <c r="A6" s="40"/>
      <c r="B6" s="42"/>
      <c r="C6" s="202" t="s">
        <v>0</v>
      </c>
      <c r="D6" s="195"/>
      <c r="E6" s="195"/>
      <c r="F6" s="195"/>
      <c r="G6" s="195"/>
      <c r="H6" s="203"/>
      <c r="I6" s="202" t="s">
        <v>1</v>
      </c>
      <c r="J6" s="195"/>
      <c r="K6" s="195"/>
      <c r="L6" s="195"/>
      <c r="M6" s="195"/>
      <c r="N6" s="195"/>
      <c r="O6" s="195"/>
      <c r="P6" s="195"/>
      <c r="Q6" s="195"/>
      <c r="R6" s="203"/>
    </row>
    <row r="7" spans="1:18" ht="73.5" customHeight="1" thickBot="1" x14ac:dyDescent="0.3">
      <c r="A7" s="40"/>
      <c r="B7" s="100"/>
      <c r="C7" s="107" t="s">
        <v>68</v>
      </c>
      <c r="D7" s="59" t="s">
        <v>2</v>
      </c>
      <c r="E7" s="59" t="s">
        <v>69</v>
      </c>
      <c r="F7" s="59" t="s">
        <v>70</v>
      </c>
      <c r="G7" s="59" t="s">
        <v>71</v>
      </c>
      <c r="H7" s="110" t="s">
        <v>4</v>
      </c>
      <c r="I7" s="107" t="s">
        <v>5</v>
      </c>
      <c r="J7" s="59" t="s">
        <v>59</v>
      </c>
      <c r="K7" s="59" t="s">
        <v>6</v>
      </c>
      <c r="L7" s="59" t="s">
        <v>60</v>
      </c>
      <c r="M7" s="59" t="s">
        <v>7</v>
      </c>
      <c r="N7" s="59" t="s">
        <v>8</v>
      </c>
      <c r="O7" s="59" t="s">
        <v>72</v>
      </c>
      <c r="P7" s="59" t="s">
        <v>9</v>
      </c>
      <c r="Q7" s="59" t="s">
        <v>10</v>
      </c>
      <c r="R7" s="110" t="s">
        <v>58</v>
      </c>
    </row>
    <row r="8" spans="1:18" x14ac:dyDescent="0.25">
      <c r="A8" s="40"/>
      <c r="B8" s="101" t="s">
        <v>119</v>
      </c>
      <c r="C8" s="101"/>
      <c r="D8" s="47"/>
      <c r="E8" s="47"/>
      <c r="F8" s="47"/>
      <c r="G8" s="47"/>
      <c r="H8" s="96"/>
      <c r="I8" s="101"/>
      <c r="J8" s="47"/>
      <c r="K8" s="47"/>
      <c r="L8" s="47"/>
      <c r="M8" s="47"/>
      <c r="N8" s="47"/>
      <c r="O8" s="47"/>
      <c r="P8" s="47"/>
      <c r="Q8" s="47"/>
      <c r="R8" s="96"/>
    </row>
    <row r="9" spans="1:18" x14ac:dyDescent="0.25">
      <c r="A9" s="40"/>
      <c r="B9" s="102" t="s">
        <v>115</v>
      </c>
      <c r="C9" s="115">
        <v>21781</v>
      </c>
      <c r="D9" s="94">
        <v>5954</v>
      </c>
      <c r="E9" s="94">
        <v>8426</v>
      </c>
      <c r="F9" s="94">
        <v>31727</v>
      </c>
      <c r="G9" s="94">
        <v>65127</v>
      </c>
      <c r="H9" s="97">
        <v>18384649</v>
      </c>
      <c r="I9" s="112">
        <v>24541</v>
      </c>
      <c r="J9" s="20">
        <v>14974</v>
      </c>
      <c r="K9" s="20">
        <v>73837</v>
      </c>
      <c r="L9" s="20">
        <v>26547</v>
      </c>
      <c r="M9" s="120">
        <v>3.0087201010600002</v>
      </c>
      <c r="N9" s="122">
        <v>28.772583916599999</v>
      </c>
      <c r="O9" s="120">
        <v>68.515243035300003</v>
      </c>
      <c r="P9" s="122">
        <v>3.7165435211400002</v>
      </c>
      <c r="Q9" s="122">
        <v>7.7774276009400003</v>
      </c>
      <c r="R9" s="124">
        <v>353871722519.82135</v>
      </c>
    </row>
    <row r="10" spans="1:18" s="40" customFormat="1" x14ac:dyDescent="0.25">
      <c r="B10" s="102" t="s">
        <v>116</v>
      </c>
      <c r="C10" s="115">
        <v>23525</v>
      </c>
      <c r="D10" s="94">
        <v>6367</v>
      </c>
      <c r="E10" s="94">
        <v>8913</v>
      </c>
      <c r="F10" s="94">
        <v>38809</v>
      </c>
      <c r="G10" s="94">
        <v>100145</v>
      </c>
      <c r="H10" s="97">
        <v>19342450</v>
      </c>
      <c r="I10" s="112">
        <v>36840</v>
      </c>
      <c r="J10" s="20">
        <v>19536</v>
      </c>
      <c r="K10" s="20">
        <v>112117</v>
      </c>
      <c r="L10" s="20">
        <v>32377</v>
      </c>
      <c r="M10" s="120">
        <v>3.0433496199799999</v>
      </c>
      <c r="N10" s="122">
        <v>34.102901153399998</v>
      </c>
      <c r="O10" s="120">
        <v>50.849639216200003</v>
      </c>
      <c r="P10" s="122">
        <v>2.55297583225</v>
      </c>
      <c r="Q10" s="122">
        <v>7.1671787399799998</v>
      </c>
      <c r="R10" s="124">
        <v>572590882415.27075</v>
      </c>
    </row>
    <row r="11" spans="1:18" s="40" customFormat="1" x14ac:dyDescent="0.25">
      <c r="B11" s="102" t="s">
        <v>117</v>
      </c>
      <c r="C11" s="115">
        <v>29225</v>
      </c>
      <c r="D11" s="94">
        <v>7711</v>
      </c>
      <c r="E11" s="94">
        <v>11437</v>
      </c>
      <c r="F11" s="94">
        <v>40303</v>
      </c>
      <c r="G11" s="94">
        <v>98625</v>
      </c>
      <c r="H11" s="97">
        <v>18945336</v>
      </c>
      <c r="I11" s="112">
        <v>37083</v>
      </c>
      <c r="J11" s="20">
        <v>20591</v>
      </c>
      <c r="K11" s="20">
        <v>111871</v>
      </c>
      <c r="L11" s="20">
        <v>32823</v>
      </c>
      <c r="M11" s="120">
        <v>3.0167731844799999</v>
      </c>
      <c r="N11" s="122">
        <v>36.4398368791</v>
      </c>
      <c r="O11" s="120">
        <v>52.415496419999997</v>
      </c>
      <c r="P11" s="122">
        <v>2.1669134409700002</v>
      </c>
      <c r="Q11" s="122">
        <v>8.1513862448799994</v>
      </c>
      <c r="R11" s="124">
        <v>593320108416.18408</v>
      </c>
    </row>
    <row r="12" spans="1:18" s="40" customFormat="1" ht="15.75" thickBot="1" x14ac:dyDescent="0.3">
      <c r="B12" s="103" t="s">
        <v>118</v>
      </c>
      <c r="C12" s="116">
        <v>24621</v>
      </c>
      <c r="D12" s="95">
        <v>6839</v>
      </c>
      <c r="E12" s="95">
        <v>8542</v>
      </c>
      <c r="F12" s="95">
        <v>34018</v>
      </c>
      <c r="G12" s="95">
        <v>72144</v>
      </c>
      <c r="H12" s="98">
        <v>15557772</v>
      </c>
      <c r="I12" s="113">
        <v>28841</v>
      </c>
      <c r="J12" s="21">
        <v>15314</v>
      </c>
      <c r="K12" s="21">
        <v>87760</v>
      </c>
      <c r="L12" s="21">
        <v>23438</v>
      </c>
      <c r="M12" s="121">
        <v>3.0428903297400001</v>
      </c>
      <c r="N12" s="123">
        <v>36.652348515699998</v>
      </c>
      <c r="O12" s="121">
        <v>52.536577028300002</v>
      </c>
      <c r="P12" s="123">
        <v>3.38795838856</v>
      </c>
      <c r="Q12" s="123">
        <v>6.7638671325899997</v>
      </c>
      <c r="R12" s="125">
        <v>358136047665.28027</v>
      </c>
    </row>
    <row r="13" spans="1:18" x14ac:dyDescent="0.25">
      <c r="A13" s="40"/>
      <c r="B13" s="104" t="s">
        <v>57</v>
      </c>
      <c r="C13" s="104"/>
      <c r="D13" s="50"/>
      <c r="E13" s="50"/>
      <c r="F13" s="50"/>
      <c r="G13" s="50"/>
      <c r="H13" s="111"/>
      <c r="I13" s="114"/>
      <c r="J13" s="23"/>
      <c r="K13" s="23"/>
      <c r="L13" s="23"/>
      <c r="M13" s="23"/>
      <c r="N13" s="23"/>
      <c r="O13" s="23"/>
      <c r="P13" s="23"/>
      <c r="Q13" s="23"/>
      <c r="R13" s="99"/>
    </row>
    <row r="14" spans="1:18" x14ac:dyDescent="0.25">
      <c r="A14" s="40"/>
      <c r="B14" s="105" t="s">
        <v>115</v>
      </c>
      <c r="C14" s="108">
        <v>4378</v>
      </c>
      <c r="D14" s="54">
        <v>1150</v>
      </c>
      <c r="E14" s="54">
        <v>1296</v>
      </c>
      <c r="F14" s="54">
        <v>7373</v>
      </c>
      <c r="G14" s="54">
        <v>9938</v>
      </c>
      <c r="H14" s="97">
        <v>4183040</v>
      </c>
      <c r="I14" s="108">
        <v>3261</v>
      </c>
      <c r="J14" s="54">
        <v>3021</v>
      </c>
      <c r="K14" s="54">
        <v>8308</v>
      </c>
      <c r="L14" s="54">
        <v>5899</v>
      </c>
      <c r="M14" s="117">
        <v>2.54768475928</v>
      </c>
      <c r="N14" s="122">
        <v>35.445652173900001</v>
      </c>
      <c r="O14" s="117">
        <v>134.70570534399999</v>
      </c>
      <c r="P14" s="122">
        <v>7.9161816065200004</v>
      </c>
      <c r="Q14" s="122">
        <v>21.3659293752</v>
      </c>
      <c r="R14" s="124">
        <v>11464978507.479019</v>
      </c>
    </row>
    <row r="15" spans="1:18" s="40" customFormat="1" x14ac:dyDescent="0.25">
      <c r="B15" s="105" t="s">
        <v>116</v>
      </c>
      <c r="C15" s="108">
        <v>5551</v>
      </c>
      <c r="D15" s="54">
        <v>1272</v>
      </c>
      <c r="E15" s="54">
        <v>1657</v>
      </c>
      <c r="F15" s="54">
        <v>9661</v>
      </c>
      <c r="G15" s="54">
        <v>15823</v>
      </c>
      <c r="H15" s="97">
        <v>5297095</v>
      </c>
      <c r="I15" s="108">
        <v>5384</v>
      </c>
      <c r="J15" s="54">
        <v>4749</v>
      </c>
      <c r="K15" s="54">
        <v>13998</v>
      </c>
      <c r="L15" s="54">
        <v>8697</v>
      </c>
      <c r="M15" s="117">
        <v>2.59992570579</v>
      </c>
      <c r="N15" s="122">
        <v>38.921419793200002</v>
      </c>
      <c r="O15" s="117">
        <v>133.174882126</v>
      </c>
      <c r="P15" s="122">
        <v>6.4322555048599996</v>
      </c>
      <c r="Q15" s="122">
        <v>18.825629835400001</v>
      </c>
      <c r="R15" s="124">
        <v>30598683347.995861</v>
      </c>
    </row>
    <row r="16" spans="1:18" s="40" customFormat="1" x14ac:dyDescent="0.25">
      <c r="B16" s="105" t="s">
        <v>117</v>
      </c>
      <c r="C16" s="108">
        <v>7230</v>
      </c>
      <c r="D16" s="54">
        <v>1852</v>
      </c>
      <c r="E16" s="54">
        <v>2804</v>
      </c>
      <c r="F16" s="54">
        <v>11123</v>
      </c>
      <c r="G16" s="54">
        <v>18297</v>
      </c>
      <c r="H16" s="97">
        <v>5212608</v>
      </c>
      <c r="I16" s="108">
        <v>5625</v>
      </c>
      <c r="J16" s="54">
        <v>5157</v>
      </c>
      <c r="K16" s="54">
        <v>14736</v>
      </c>
      <c r="L16" s="54">
        <v>9808</v>
      </c>
      <c r="M16" s="117">
        <v>2.6197333333300001</v>
      </c>
      <c r="N16" s="122">
        <v>40.672451193100002</v>
      </c>
      <c r="O16" s="117">
        <v>133.92487785</v>
      </c>
      <c r="P16" s="122">
        <v>6.9616519174000002</v>
      </c>
      <c r="Q16" s="122">
        <v>19.387338325399998</v>
      </c>
      <c r="R16" s="124">
        <v>34858230770.957603</v>
      </c>
    </row>
    <row r="17" spans="2:18" s="40" customFormat="1" ht="15.75" thickBot="1" x14ac:dyDescent="0.3">
      <c r="B17" s="106" t="s">
        <v>118</v>
      </c>
      <c r="C17" s="109">
        <v>4871</v>
      </c>
      <c r="D17" s="55">
        <v>1267</v>
      </c>
      <c r="E17" s="55">
        <v>1724</v>
      </c>
      <c r="F17" s="55">
        <v>8557</v>
      </c>
      <c r="G17" s="55">
        <v>14057</v>
      </c>
      <c r="H17" s="98">
        <v>4258360</v>
      </c>
      <c r="I17" s="109">
        <v>4284</v>
      </c>
      <c r="J17" s="55">
        <v>4015</v>
      </c>
      <c r="K17" s="55">
        <v>11049</v>
      </c>
      <c r="L17" s="55">
        <v>7590</v>
      </c>
      <c r="M17" s="118">
        <v>2.5791316526600001</v>
      </c>
      <c r="N17" s="123">
        <v>35.756614639799999</v>
      </c>
      <c r="O17" s="118">
        <v>128.827495701</v>
      </c>
      <c r="P17" s="123">
        <v>6.5347137637000001</v>
      </c>
      <c r="Q17" s="123">
        <v>19.835566382500001</v>
      </c>
      <c r="R17" s="125">
        <v>19171976635.0047</v>
      </c>
    </row>
    <row r="18" spans="2:18" s="40" customFormat="1" x14ac:dyDescent="0.25">
      <c r="B18" s="104" t="s">
        <v>20</v>
      </c>
      <c r="C18" s="104"/>
      <c r="D18" s="50"/>
      <c r="E18" s="50"/>
      <c r="F18" s="50"/>
      <c r="G18" s="50"/>
      <c r="H18" s="111"/>
      <c r="I18" s="114"/>
      <c r="J18" s="23"/>
      <c r="K18" s="23"/>
      <c r="L18" s="23"/>
      <c r="M18" s="23"/>
      <c r="N18" s="23"/>
      <c r="O18" s="23"/>
      <c r="P18" s="23"/>
      <c r="Q18" s="23"/>
      <c r="R18" s="99"/>
    </row>
    <row r="19" spans="2:18" s="40" customFormat="1" x14ac:dyDescent="0.25">
      <c r="B19" s="105"/>
      <c r="C19" s="108"/>
      <c r="D19" s="54"/>
      <c r="E19" s="54"/>
      <c r="F19" s="54"/>
      <c r="G19" s="54"/>
      <c r="H19" s="97"/>
      <c r="I19" s="108"/>
      <c r="J19" s="54"/>
      <c r="K19" s="54"/>
      <c r="L19" s="54"/>
      <c r="M19" s="117"/>
      <c r="N19" s="122"/>
      <c r="O19" s="117"/>
      <c r="P19" s="122"/>
      <c r="Q19" s="122"/>
      <c r="R19" s="124"/>
    </row>
    <row r="20" spans="2:18" s="40" customFormat="1" x14ac:dyDescent="0.25">
      <c r="B20" s="105"/>
      <c r="C20" s="108"/>
      <c r="D20" s="54"/>
      <c r="E20" s="54"/>
      <c r="F20" s="54"/>
      <c r="G20" s="54"/>
      <c r="H20" s="97"/>
      <c r="I20" s="108"/>
      <c r="J20" s="54"/>
      <c r="K20" s="54"/>
      <c r="L20" s="54"/>
      <c r="M20" s="117"/>
      <c r="N20" s="122"/>
      <c r="O20" s="117"/>
      <c r="P20" s="122"/>
      <c r="Q20" s="122"/>
      <c r="R20" s="124"/>
    </row>
    <row r="21" spans="2:18" s="40" customFormat="1" x14ac:dyDescent="0.25">
      <c r="B21" s="105"/>
      <c r="C21" s="108"/>
      <c r="D21" s="54"/>
      <c r="E21" s="54"/>
      <c r="F21" s="54"/>
      <c r="G21" s="54"/>
      <c r="H21" s="97"/>
      <c r="I21" s="108"/>
      <c r="J21" s="54"/>
      <c r="K21" s="54"/>
      <c r="L21" s="54"/>
      <c r="M21" s="117"/>
      <c r="N21" s="122"/>
      <c r="O21" s="117"/>
      <c r="P21" s="122"/>
      <c r="Q21" s="122"/>
      <c r="R21" s="124"/>
    </row>
    <row r="22" spans="2:18" s="40" customFormat="1" ht="15.75" thickBot="1" x14ac:dyDescent="0.3">
      <c r="B22" s="106"/>
      <c r="C22" s="109"/>
      <c r="D22" s="55"/>
      <c r="E22" s="55"/>
      <c r="F22" s="55"/>
      <c r="G22" s="55"/>
      <c r="H22" s="98"/>
      <c r="I22" s="109"/>
      <c r="J22" s="55"/>
      <c r="K22" s="55"/>
      <c r="L22" s="55"/>
      <c r="M22" s="118"/>
      <c r="N22" s="123"/>
      <c r="O22" s="118"/>
      <c r="P22" s="123"/>
      <c r="Q22" s="123"/>
      <c r="R22" s="125"/>
    </row>
    <row r="23" spans="2:18" s="40" customFormat="1" x14ac:dyDescent="0.25">
      <c r="B23" s="104" t="s">
        <v>19</v>
      </c>
      <c r="C23" s="104"/>
      <c r="D23" s="50"/>
      <c r="E23" s="50"/>
      <c r="F23" s="50"/>
      <c r="G23" s="50"/>
      <c r="H23" s="111"/>
      <c r="I23" s="114"/>
      <c r="J23" s="23"/>
      <c r="K23" s="23"/>
      <c r="L23" s="23"/>
      <c r="M23" s="23"/>
      <c r="N23" s="23"/>
      <c r="O23" s="23"/>
      <c r="P23" s="23"/>
      <c r="Q23" s="23"/>
      <c r="R23" s="99"/>
    </row>
    <row r="24" spans="2:18" s="40" customFormat="1" x14ac:dyDescent="0.25">
      <c r="B24" s="105"/>
      <c r="C24" s="108"/>
      <c r="D24" s="54"/>
      <c r="E24" s="54"/>
      <c r="F24" s="54"/>
      <c r="G24" s="54"/>
      <c r="H24" s="97"/>
      <c r="I24" s="108"/>
      <c r="J24" s="54"/>
      <c r="K24" s="54"/>
      <c r="L24" s="54"/>
      <c r="M24" s="117"/>
      <c r="N24" s="122"/>
      <c r="O24" s="117"/>
      <c r="P24" s="122"/>
      <c r="Q24" s="122"/>
      <c r="R24" s="124"/>
    </row>
    <row r="25" spans="2:18" s="40" customFormat="1" x14ac:dyDescent="0.25">
      <c r="B25" s="105"/>
      <c r="C25" s="108"/>
      <c r="D25" s="54"/>
      <c r="E25" s="54"/>
      <c r="F25" s="54"/>
      <c r="G25" s="54"/>
      <c r="H25" s="97"/>
      <c r="I25" s="108"/>
      <c r="J25" s="54"/>
      <c r="K25" s="54"/>
      <c r="L25" s="54"/>
      <c r="M25" s="117"/>
      <c r="N25" s="122"/>
      <c r="O25" s="117"/>
      <c r="P25" s="122"/>
      <c r="Q25" s="122"/>
      <c r="R25" s="124"/>
    </row>
    <row r="26" spans="2:18" s="40" customFormat="1" x14ac:dyDescent="0.25">
      <c r="B26" s="105"/>
      <c r="C26" s="108"/>
      <c r="D26" s="54"/>
      <c r="E26" s="54"/>
      <c r="F26" s="54"/>
      <c r="G26" s="54"/>
      <c r="H26" s="97"/>
      <c r="I26" s="108"/>
      <c r="J26" s="54"/>
      <c r="K26" s="54"/>
      <c r="L26" s="54"/>
      <c r="M26" s="117"/>
      <c r="N26" s="122"/>
      <c r="O26" s="117"/>
      <c r="P26" s="122"/>
      <c r="Q26" s="122"/>
      <c r="R26" s="124"/>
    </row>
    <row r="27" spans="2:18" s="40" customFormat="1" ht="15.75" thickBot="1" x14ac:dyDescent="0.3">
      <c r="B27" s="106"/>
      <c r="C27" s="109"/>
      <c r="D27" s="55"/>
      <c r="E27" s="55"/>
      <c r="F27" s="55"/>
      <c r="G27" s="55"/>
      <c r="H27" s="98"/>
      <c r="I27" s="109"/>
      <c r="J27" s="55"/>
      <c r="K27" s="55"/>
      <c r="L27" s="55"/>
      <c r="M27" s="118"/>
      <c r="N27" s="123"/>
      <c r="O27" s="118"/>
      <c r="P27" s="123"/>
      <c r="Q27" s="123"/>
      <c r="R27" s="125"/>
    </row>
    <row r="29" spans="2:18" ht="15.75" thickBot="1" x14ac:dyDescent="0.3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36"/>
      <c r="N29" s="237"/>
      <c r="O29" s="236"/>
      <c r="P29" s="237"/>
      <c r="Q29" s="237"/>
      <c r="R29" s="236"/>
    </row>
    <row r="30" spans="2:18" s="40" customFormat="1" x14ac:dyDescent="0.25">
      <c r="B30" s="205" t="s">
        <v>21</v>
      </c>
      <c r="C30" s="206"/>
      <c r="D30" s="220" t="s">
        <v>22</v>
      </c>
      <c r="E30" s="221"/>
      <c r="F30" s="221"/>
      <c r="G30" s="222"/>
      <c r="H30" s="209"/>
      <c r="I30" s="209"/>
      <c r="J30" s="209"/>
      <c r="K30" s="204"/>
      <c r="L30" s="204"/>
      <c r="M30" s="236"/>
      <c r="N30" s="237"/>
      <c r="O30" s="236"/>
      <c r="P30" s="237"/>
      <c r="Q30" s="237"/>
      <c r="R30" s="236"/>
    </row>
    <row r="31" spans="2:18" s="40" customFormat="1" ht="15.75" thickBot="1" x14ac:dyDescent="0.3">
      <c r="B31" s="207" t="s">
        <v>23</v>
      </c>
      <c r="C31" s="208"/>
      <c r="D31" s="223" t="s">
        <v>24</v>
      </c>
      <c r="E31" s="224"/>
      <c r="F31" s="224"/>
      <c r="G31" s="225"/>
      <c r="H31" s="209"/>
      <c r="I31" s="209"/>
      <c r="J31" s="209"/>
      <c r="K31" s="204"/>
      <c r="L31" s="204"/>
      <c r="M31" s="236"/>
      <c r="N31" s="237"/>
      <c r="O31" s="236"/>
      <c r="P31" s="237"/>
      <c r="Q31" s="237"/>
      <c r="R31" s="236"/>
    </row>
    <row r="32" spans="2:18" s="40" customFormat="1" x14ac:dyDescent="0.25">
      <c r="B32" s="209"/>
      <c r="C32" s="209"/>
      <c r="D32" s="209"/>
      <c r="E32" s="209"/>
      <c r="F32" s="209"/>
      <c r="G32" s="209"/>
      <c r="H32" s="209"/>
      <c r="I32" s="209"/>
      <c r="J32" s="209"/>
      <c r="K32" s="204"/>
      <c r="L32" s="204"/>
      <c r="M32" s="236"/>
      <c r="N32" s="237"/>
      <c r="O32" s="236"/>
      <c r="P32" s="237"/>
      <c r="Q32" s="237"/>
      <c r="R32" s="236"/>
    </row>
    <row r="33" spans="2:18" s="40" customFormat="1" ht="15.75" thickBot="1" x14ac:dyDescent="0.3"/>
    <row r="34" spans="2:18" s="40" customFormat="1" ht="27.75" customHeight="1" x14ac:dyDescent="0.25">
      <c r="B34" s="210" t="s">
        <v>21</v>
      </c>
      <c r="C34" s="211"/>
      <c r="D34" s="226" t="s">
        <v>25</v>
      </c>
      <c r="E34" s="227"/>
      <c r="F34" s="238" t="s">
        <v>26</v>
      </c>
      <c r="G34" s="239"/>
      <c r="H34" s="239"/>
      <c r="I34" s="240"/>
      <c r="J34" s="241"/>
      <c r="K34" s="241"/>
      <c r="L34" s="241"/>
      <c r="M34" s="241"/>
      <c r="N34" s="241"/>
      <c r="O34" s="241"/>
      <c r="P34" s="241"/>
      <c r="Q34" s="241"/>
      <c r="R34" s="242"/>
    </row>
    <row r="35" spans="2:18" s="40" customFormat="1" ht="27.75" customHeight="1" x14ac:dyDescent="0.25">
      <c r="B35" s="212"/>
      <c r="C35" s="213"/>
      <c r="D35" s="228" t="s">
        <v>2</v>
      </c>
      <c r="E35" s="229"/>
      <c r="F35" s="243" t="s">
        <v>27</v>
      </c>
      <c r="G35" s="244"/>
      <c r="H35" s="244"/>
      <c r="I35" s="245"/>
      <c r="J35" s="246"/>
      <c r="K35" s="246"/>
      <c r="L35" s="246"/>
      <c r="M35" s="246"/>
      <c r="N35" s="246"/>
      <c r="O35" s="246"/>
      <c r="P35" s="246"/>
      <c r="Q35" s="246"/>
      <c r="R35" s="247"/>
    </row>
    <row r="36" spans="2:18" s="40" customFormat="1" ht="27.75" customHeight="1" x14ac:dyDescent="0.25">
      <c r="B36" s="212"/>
      <c r="C36" s="213"/>
      <c r="D36" s="228" t="s">
        <v>3</v>
      </c>
      <c r="E36" s="229"/>
      <c r="F36" s="243" t="s">
        <v>28</v>
      </c>
      <c r="G36" s="244"/>
      <c r="H36" s="244"/>
      <c r="I36" s="245"/>
      <c r="J36" s="246"/>
      <c r="K36" s="246"/>
      <c r="L36" s="246"/>
      <c r="M36" s="246"/>
      <c r="N36" s="246"/>
      <c r="O36" s="246"/>
      <c r="P36" s="246"/>
      <c r="Q36" s="246"/>
      <c r="R36" s="247"/>
    </row>
    <row r="37" spans="2:18" s="40" customFormat="1" ht="27.75" customHeight="1" x14ac:dyDescent="0.25">
      <c r="B37" s="212"/>
      <c r="C37" s="213"/>
      <c r="D37" s="228" t="s">
        <v>29</v>
      </c>
      <c r="E37" s="229"/>
      <c r="F37" s="243" t="s">
        <v>30</v>
      </c>
      <c r="G37" s="244"/>
      <c r="H37" s="244"/>
      <c r="I37" s="245"/>
      <c r="J37" s="246"/>
      <c r="K37" s="246"/>
      <c r="L37" s="246"/>
      <c r="M37" s="246"/>
      <c r="N37" s="246"/>
      <c r="O37" s="246"/>
      <c r="P37" s="246"/>
      <c r="Q37" s="246"/>
      <c r="R37" s="247"/>
    </row>
    <row r="38" spans="2:18" s="40" customFormat="1" ht="33" customHeight="1" x14ac:dyDescent="0.25">
      <c r="B38" s="212"/>
      <c r="C38" s="213"/>
      <c r="D38" s="149" t="s">
        <v>31</v>
      </c>
      <c r="E38" s="150"/>
      <c r="F38" s="188" t="s">
        <v>32</v>
      </c>
      <c r="G38" s="189"/>
      <c r="H38" s="189"/>
      <c r="I38" s="190"/>
      <c r="J38" s="152"/>
      <c r="K38" s="152"/>
      <c r="L38" s="152"/>
      <c r="M38" s="152"/>
      <c r="N38" s="152"/>
      <c r="O38" s="152"/>
      <c r="P38" s="152"/>
      <c r="Q38" s="152"/>
      <c r="R38" s="153"/>
    </row>
    <row r="39" spans="2:18" s="40" customFormat="1" ht="28.5" customHeight="1" thickBot="1" x14ac:dyDescent="0.3">
      <c r="B39" s="214"/>
      <c r="C39" s="215"/>
      <c r="D39" s="230" t="s">
        <v>4</v>
      </c>
      <c r="E39" s="231"/>
      <c r="F39" s="248" t="s">
        <v>33</v>
      </c>
      <c r="G39" s="249"/>
      <c r="H39" s="249"/>
      <c r="I39" s="250"/>
      <c r="J39" s="251"/>
      <c r="K39" s="251"/>
      <c r="L39" s="251"/>
      <c r="M39" s="251"/>
      <c r="N39" s="251"/>
      <c r="O39" s="251"/>
      <c r="P39" s="251"/>
      <c r="Q39" s="251"/>
      <c r="R39" s="252"/>
    </row>
    <row r="40" spans="2:18" s="40" customFormat="1" ht="27.75" customHeight="1" x14ac:dyDescent="0.25">
      <c r="B40" s="216" t="s">
        <v>23</v>
      </c>
      <c r="C40" s="217"/>
      <c r="D40" s="232" t="s">
        <v>5</v>
      </c>
      <c r="E40" s="233"/>
      <c r="F40" s="253" t="s">
        <v>34</v>
      </c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54"/>
    </row>
    <row r="41" spans="2:18" s="40" customFormat="1" ht="27.75" customHeight="1" x14ac:dyDescent="0.25">
      <c r="B41" s="212"/>
      <c r="C41" s="218"/>
      <c r="D41" s="234" t="s">
        <v>59</v>
      </c>
      <c r="E41" s="235"/>
      <c r="F41" s="255" t="s">
        <v>62</v>
      </c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7"/>
    </row>
    <row r="42" spans="2:18" s="40" customFormat="1" ht="27.75" customHeight="1" x14ac:dyDescent="0.25">
      <c r="B42" s="212"/>
      <c r="C42" s="218"/>
      <c r="D42" s="234" t="s">
        <v>6</v>
      </c>
      <c r="E42" s="235"/>
      <c r="F42" s="258" t="s">
        <v>63</v>
      </c>
      <c r="G42" s="259"/>
      <c r="H42" s="259"/>
      <c r="I42" s="259"/>
      <c r="J42" s="259"/>
      <c r="K42" s="259"/>
      <c r="L42" s="259"/>
      <c r="M42" s="259"/>
      <c r="N42" s="259"/>
      <c r="O42" s="259"/>
      <c r="P42" s="259"/>
      <c r="Q42" s="259"/>
      <c r="R42" s="260"/>
    </row>
    <row r="43" spans="2:18" s="40" customFormat="1" ht="27.75" customHeight="1" x14ac:dyDescent="0.25">
      <c r="B43" s="212"/>
      <c r="C43" s="218"/>
      <c r="D43" s="149" t="s">
        <v>60</v>
      </c>
      <c r="E43" s="150"/>
      <c r="F43" s="165" t="s">
        <v>64</v>
      </c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7"/>
    </row>
    <row r="44" spans="2:18" s="40" customFormat="1" ht="27.75" customHeight="1" x14ac:dyDescent="0.25">
      <c r="B44" s="212"/>
      <c r="C44" s="218"/>
      <c r="D44" s="234" t="s">
        <v>7</v>
      </c>
      <c r="E44" s="235"/>
      <c r="F44" s="258" t="s">
        <v>35</v>
      </c>
      <c r="G44" s="259"/>
      <c r="H44" s="259"/>
      <c r="I44" s="259"/>
      <c r="J44" s="259"/>
      <c r="K44" s="259"/>
      <c r="L44" s="259"/>
      <c r="M44" s="259"/>
      <c r="N44" s="259"/>
      <c r="O44" s="259"/>
      <c r="P44" s="259"/>
      <c r="Q44" s="259"/>
      <c r="R44" s="260"/>
    </row>
    <row r="45" spans="2:18" s="40" customFormat="1" ht="45" customHeight="1" x14ac:dyDescent="0.25">
      <c r="B45" s="212"/>
      <c r="C45" s="218"/>
      <c r="D45" s="234" t="s">
        <v>8</v>
      </c>
      <c r="E45" s="235"/>
      <c r="F45" s="258" t="s">
        <v>36</v>
      </c>
      <c r="G45" s="259"/>
      <c r="H45" s="259"/>
      <c r="I45" s="259"/>
      <c r="J45" s="259"/>
      <c r="K45" s="259"/>
      <c r="L45" s="259"/>
      <c r="M45" s="259"/>
      <c r="N45" s="259"/>
      <c r="O45" s="259"/>
      <c r="P45" s="259"/>
      <c r="Q45" s="259"/>
      <c r="R45" s="260"/>
    </row>
    <row r="46" spans="2:18" s="40" customFormat="1" ht="48" customHeight="1" x14ac:dyDescent="0.25">
      <c r="B46" s="212"/>
      <c r="C46" s="218"/>
      <c r="D46" s="234" t="s">
        <v>37</v>
      </c>
      <c r="E46" s="235"/>
      <c r="F46" s="258" t="s">
        <v>38</v>
      </c>
      <c r="G46" s="259"/>
      <c r="H46" s="259"/>
      <c r="I46" s="259"/>
      <c r="J46" s="259"/>
      <c r="K46" s="259"/>
      <c r="L46" s="259"/>
      <c r="M46" s="259"/>
      <c r="N46" s="259"/>
      <c r="O46" s="259"/>
      <c r="P46" s="259"/>
      <c r="Q46" s="259"/>
      <c r="R46" s="260"/>
    </row>
    <row r="47" spans="2:18" s="40" customFormat="1" ht="27.75" customHeight="1" x14ac:dyDescent="0.25">
      <c r="B47" s="212"/>
      <c r="C47" s="218"/>
      <c r="D47" s="234" t="s">
        <v>39</v>
      </c>
      <c r="E47" s="235"/>
      <c r="F47" s="258" t="s">
        <v>40</v>
      </c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60"/>
    </row>
    <row r="48" spans="2:18" s="40" customFormat="1" ht="40.5" customHeight="1" x14ac:dyDescent="0.25">
      <c r="B48" s="212"/>
      <c r="C48" s="218"/>
      <c r="D48" s="144" t="s">
        <v>9</v>
      </c>
      <c r="E48" s="145"/>
      <c r="F48" s="146" t="s">
        <v>41</v>
      </c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8"/>
    </row>
    <row r="49" spans="2:18" s="40" customFormat="1" ht="27" customHeight="1" x14ac:dyDescent="0.25">
      <c r="B49" s="212"/>
      <c r="C49" s="218"/>
      <c r="D49" s="234" t="s">
        <v>10</v>
      </c>
      <c r="E49" s="235"/>
      <c r="F49" s="258" t="s">
        <v>42</v>
      </c>
      <c r="G49" s="259"/>
      <c r="H49" s="259"/>
      <c r="I49" s="259"/>
      <c r="J49" s="259"/>
      <c r="K49" s="259"/>
      <c r="L49" s="259"/>
      <c r="M49" s="259"/>
      <c r="N49" s="259"/>
      <c r="O49" s="259"/>
      <c r="P49" s="259"/>
      <c r="Q49" s="259"/>
      <c r="R49" s="260"/>
    </row>
    <row r="50" spans="2:18" s="40" customFormat="1" ht="27" customHeight="1" x14ac:dyDescent="0.25">
      <c r="B50" s="212"/>
      <c r="C50" s="218"/>
      <c r="D50" s="228" t="s">
        <v>65</v>
      </c>
      <c r="E50" s="229"/>
      <c r="F50" s="261" t="s">
        <v>66</v>
      </c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7"/>
    </row>
    <row r="51" spans="2:18" s="40" customFormat="1" ht="30" customHeight="1" thickBot="1" x14ac:dyDescent="0.3">
      <c r="B51" s="214"/>
      <c r="C51" s="219"/>
      <c r="D51" s="230" t="s">
        <v>58</v>
      </c>
      <c r="E51" s="231"/>
      <c r="F51" s="262" t="s">
        <v>67</v>
      </c>
      <c r="G51" s="251"/>
      <c r="H51" s="251"/>
      <c r="I51" s="251"/>
      <c r="J51" s="251"/>
      <c r="K51" s="251"/>
      <c r="L51" s="251"/>
      <c r="M51" s="251"/>
      <c r="N51" s="251"/>
      <c r="O51" s="251"/>
      <c r="P51" s="251"/>
      <c r="Q51" s="251"/>
      <c r="R51" s="252"/>
    </row>
    <row r="52" spans="2:18" x14ac:dyDescent="0.25">
      <c r="B52" s="204"/>
      <c r="C52" s="204"/>
      <c r="D52" s="204"/>
      <c r="E52" s="204"/>
      <c r="F52" s="263"/>
      <c r="G52" s="263"/>
      <c r="H52" s="263"/>
      <c r="I52" s="263"/>
      <c r="J52" s="263"/>
      <c r="K52" s="263"/>
      <c r="L52" s="263"/>
      <c r="M52" s="263"/>
      <c r="N52" s="263"/>
      <c r="O52" s="263"/>
      <c r="P52" s="263"/>
      <c r="Q52" s="263"/>
      <c r="R52" s="263"/>
    </row>
    <row r="54" spans="2:18" x14ac:dyDescent="0.25"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36"/>
      <c r="N54" s="237"/>
      <c r="O54" s="236"/>
      <c r="P54" s="237"/>
      <c r="Q54" s="237"/>
      <c r="R54" s="236"/>
    </row>
    <row r="55" spans="2:18" x14ac:dyDescent="0.25"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36"/>
      <c r="N55" s="237"/>
      <c r="O55" s="236"/>
      <c r="P55" s="237"/>
      <c r="Q55" s="237"/>
      <c r="R55" s="236"/>
    </row>
    <row r="56" spans="2:18" x14ac:dyDescent="0.25"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36"/>
      <c r="N56" s="237"/>
      <c r="O56" s="236"/>
      <c r="P56" s="237"/>
      <c r="Q56" s="237"/>
      <c r="R56" s="236"/>
    </row>
    <row r="57" spans="2:18" x14ac:dyDescent="0.25"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36"/>
      <c r="N57" s="237"/>
      <c r="O57" s="236"/>
      <c r="P57" s="237"/>
      <c r="Q57" s="237"/>
      <c r="R57" s="236"/>
    </row>
    <row r="59" spans="2:18" x14ac:dyDescent="0.25">
      <c r="C59" s="204"/>
      <c r="D59" s="204"/>
      <c r="E59" s="204"/>
      <c r="F59" s="204"/>
      <c r="G59" s="204"/>
      <c r="H59" s="204"/>
      <c r="I59" s="204"/>
      <c r="J59" s="204"/>
      <c r="K59" s="204"/>
      <c r="L59" s="204"/>
      <c r="M59" s="236"/>
      <c r="N59" s="237"/>
      <c r="O59" s="236"/>
      <c r="P59" s="237"/>
      <c r="Q59" s="237"/>
      <c r="R59" s="236"/>
    </row>
    <row r="60" spans="2:18" x14ac:dyDescent="0.25">
      <c r="C60" s="204"/>
      <c r="D60" s="204"/>
      <c r="E60" s="204"/>
      <c r="F60" s="204"/>
      <c r="G60" s="204"/>
      <c r="H60" s="204"/>
      <c r="I60" s="204"/>
      <c r="J60" s="204"/>
      <c r="K60" s="204"/>
      <c r="L60" s="204"/>
      <c r="M60" s="236"/>
      <c r="N60" s="237"/>
      <c r="O60" s="236"/>
      <c r="P60" s="237"/>
      <c r="Q60" s="237"/>
      <c r="R60" s="236"/>
    </row>
    <row r="61" spans="2:18" x14ac:dyDescent="0.25">
      <c r="C61" s="204"/>
      <c r="D61" s="204"/>
      <c r="E61" s="204"/>
      <c r="F61" s="204"/>
      <c r="G61" s="204"/>
      <c r="H61" s="204"/>
      <c r="I61" s="204"/>
      <c r="J61" s="204"/>
      <c r="K61" s="204"/>
      <c r="L61" s="204"/>
      <c r="M61" s="236"/>
      <c r="N61" s="237"/>
      <c r="O61" s="236"/>
      <c r="P61" s="237"/>
      <c r="Q61" s="237"/>
      <c r="R61" s="236"/>
    </row>
    <row r="62" spans="2:18" x14ac:dyDescent="0.25"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36"/>
      <c r="N62" s="237"/>
      <c r="O62" s="236"/>
      <c r="P62" s="237"/>
      <c r="Q62" s="237"/>
      <c r="R62" s="236"/>
    </row>
    <row r="64" spans="2:18" x14ac:dyDescent="0.25">
      <c r="C64" s="204"/>
      <c r="D64" s="204"/>
      <c r="E64" s="204"/>
      <c r="F64" s="204"/>
      <c r="G64" s="204"/>
      <c r="H64" s="204"/>
      <c r="I64" s="204"/>
      <c r="J64" s="204"/>
      <c r="K64" s="204"/>
      <c r="L64" s="204"/>
      <c r="M64" s="236"/>
      <c r="N64" s="237"/>
      <c r="O64" s="236"/>
      <c r="P64" s="237"/>
      <c r="Q64" s="237"/>
      <c r="R64" s="236"/>
    </row>
    <row r="65" spans="3:18" x14ac:dyDescent="0.25">
      <c r="C65" s="204"/>
      <c r="D65" s="204"/>
      <c r="E65" s="204"/>
      <c r="F65" s="204"/>
      <c r="G65" s="204"/>
      <c r="H65" s="204"/>
      <c r="I65" s="204"/>
      <c r="J65" s="204"/>
      <c r="K65" s="204"/>
      <c r="L65" s="204"/>
      <c r="M65" s="236"/>
      <c r="N65" s="237"/>
      <c r="O65" s="236"/>
      <c r="P65" s="237"/>
      <c r="Q65" s="237"/>
      <c r="R65" s="236"/>
    </row>
    <row r="66" spans="3:18" x14ac:dyDescent="0.25">
      <c r="C66" s="204"/>
      <c r="D66" s="204"/>
      <c r="E66" s="204"/>
      <c r="F66" s="204"/>
      <c r="G66" s="204"/>
      <c r="H66" s="204"/>
      <c r="I66" s="204"/>
      <c r="J66" s="204"/>
      <c r="K66" s="204"/>
      <c r="L66" s="204"/>
      <c r="M66" s="236"/>
      <c r="N66" s="237"/>
      <c r="O66" s="236"/>
      <c r="P66" s="237"/>
      <c r="Q66" s="237"/>
      <c r="R66" s="236"/>
    </row>
    <row r="67" spans="3:18" x14ac:dyDescent="0.25"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36"/>
      <c r="N67" s="237"/>
      <c r="O67" s="236"/>
      <c r="P67" s="237"/>
      <c r="Q67" s="237"/>
      <c r="R67" s="236"/>
    </row>
    <row r="90" ht="27.75" customHeight="1" x14ac:dyDescent="0.25"/>
    <row r="91" ht="27.75" customHeight="1" x14ac:dyDescent="0.25"/>
    <row r="92" ht="27.75" customHeight="1" x14ac:dyDescent="0.25"/>
    <row r="93" ht="27.75" customHeight="1" x14ac:dyDescent="0.25"/>
    <row r="94" ht="33" customHeight="1" x14ac:dyDescent="0.25"/>
    <row r="95" ht="28.5" customHeight="1" x14ac:dyDescent="0.25"/>
    <row r="96" ht="27.75" customHeight="1" x14ac:dyDescent="0.25"/>
    <row r="97" ht="27.75" customHeight="1" x14ac:dyDescent="0.25"/>
    <row r="98" ht="27.75" customHeight="1" x14ac:dyDescent="0.25"/>
    <row r="99" ht="27.75" customHeight="1" x14ac:dyDescent="0.25"/>
    <row r="100" ht="27.75" customHeight="1" x14ac:dyDescent="0.25"/>
    <row r="101" ht="45" customHeight="1" x14ac:dyDescent="0.25"/>
    <row r="102" ht="48" customHeight="1" x14ac:dyDescent="0.25"/>
    <row r="103" ht="27.75" customHeight="1" x14ac:dyDescent="0.25"/>
    <row r="104" ht="40.5" customHeight="1" x14ac:dyDescent="0.25"/>
    <row r="105" ht="27" customHeight="1" x14ac:dyDescent="0.25"/>
    <row r="106" ht="27" customHeight="1" x14ac:dyDescent="0.25"/>
    <row r="107" ht="30" customHeight="1" x14ac:dyDescent="0.25"/>
    <row r="111" ht="27.75" customHeight="1" x14ac:dyDescent="0.25"/>
    <row r="112" ht="27.75" customHeight="1" x14ac:dyDescent="0.25"/>
    <row r="113" ht="27.75" customHeight="1" x14ac:dyDescent="0.25"/>
    <row r="114" ht="27.75" customHeight="1" x14ac:dyDescent="0.25"/>
    <row r="115" ht="33" customHeight="1" x14ac:dyDescent="0.25"/>
    <row r="116" ht="28.5" customHeight="1" x14ac:dyDescent="0.25"/>
    <row r="117" ht="27.75" customHeight="1" x14ac:dyDescent="0.25"/>
    <row r="118" ht="27.75" customHeight="1" x14ac:dyDescent="0.25"/>
    <row r="119" ht="27.75" customHeight="1" x14ac:dyDescent="0.25"/>
    <row r="120" ht="27.75" customHeight="1" x14ac:dyDescent="0.25"/>
    <row r="121" ht="27.75" customHeight="1" x14ac:dyDescent="0.25"/>
    <row r="122" ht="45" customHeight="1" x14ac:dyDescent="0.25"/>
    <row r="123" ht="48" customHeight="1" x14ac:dyDescent="0.25"/>
    <row r="124" ht="27.75" customHeight="1" x14ac:dyDescent="0.25"/>
    <row r="125" ht="40.5" customHeight="1" x14ac:dyDescent="0.25"/>
    <row r="126" ht="27" customHeight="1" x14ac:dyDescent="0.25"/>
    <row r="127" ht="27" customHeight="1" x14ac:dyDescent="0.25"/>
    <row r="128" ht="30" customHeight="1" x14ac:dyDescent="0.25"/>
    <row r="167" ht="27.75" customHeight="1" x14ac:dyDescent="0.25"/>
    <row r="168" ht="27.75" customHeight="1" x14ac:dyDescent="0.25"/>
    <row r="169" ht="27.75" customHeight="1" x14ac:dyDescent="0.25"/>
    <row r="170" ht="27.75" customHeight="1" x14ac:dyDescent="0.25"/>
    <row r="171" ht="33" customHeight="1" x14ac:dyDescent="0.25"/>
    <row r="172" ht="28.5" customHeight="1" x14ac:dyDescent="0.25"/>
    <row r="173" ht="27.75" customHeight="1" x14ac:dyDescent="0.25"/>
    <row r="174" ht="27.75" customHeight="1" x14ac:dyDescent="0.25"/>
    <row r="175" ht="27.75" customHeight="1" x14ac:dyDescent="0.25"/>
    <row r="176" ht="27.75" customHeight="1" x14ac:dyDescent="0.25"/>
    <row r="177" ht="27.75" customHeight="1" x14ac:dyDescent="0.25"/>
    <row r="178" ht="45" customHeight="1" x14ac:dyDescent="0.25"/>
    <row r="179" ht="48" customHeight="1" x14ac:dyDescent="0.25"/>
    <row r="180" ht="27.75" customHeight="1" x14ac:dyDescent="0.25"/>
    <row r="181" ht="40.5" customHeight="1" x14ac:dyDescent="0.25"/>
    <row r="182" ht="27" customHeight="1" x14ac:dyDescent="0.25"/>
    <row r="183" ht="27" customHeight="1" x14ac:dyDescent="0.25"/>
    <row r="184" ht="30" customHeight="1" x14ac:dyDescent="0.25"/>
    <row r="185" ht="28.5" customHeight="1" x14ac:dyDescent="0.25"/>
    <row r="186" ht="27.75" customHeight="1" x14ac:dyDescent="0.25"/>
    <row r="187" ht="27.75" customHeight="1" x14ac:dyDescent="0.25"/>
    <row r="188" ht="27.75" customHeight="1" x14ac:dyDescent="0.25"/>
    <row r="189" ht="27.75" customHeight="1" x14ac:dyDescent="0.25"/>
    <row r="190" ht="27.75" customHeight="1" x14ac:dyDescent="0.25"/>
    <row r="191" ht="45" customHeight="1" x14ac:dyDescent="0.25"/>
    <row r="192" ht="48" customHeight="1" x14ac:dyDescent="0.25"/>
    <row r="193" ht="27.75" customHeight="1" x14ac:dyDescent="0.25"/>
    <row r="194" ht="40.5" customHeight="1" x14ac:dyDescent="0.25"/>
    <row r="195" ht="27" customHeight="1" x14ac:dyDescent="0.25"/>
    <row r="196" ht="27" customHeight="1" x14ac:dyDescent="0.25"/>
    <row r="197" ht="30" customHeight="1" x14ac:dyDescent="0.25"/>
    <row r="221" ht="27.75" customHeight="1" x14ac:dyDescent="0.25"/>
    <row r="222" ht="27.75" customHeight="1" x14ac:dyDescent="0.25"/>
    <row r="223" ht="27.75" customHeight="1" x14ac:dyDescent="0.25"/>
    <row r="224" ht="27.75" customHeight="1" x14ac:dyDescent="0.25"/>
    <row r="225" ht="27.75" customHeight="1" x14ac:dyDescent="0.25"/>
    <row r="226" ht="27.75" customHeight="1" x14ac:dyDescent="0.25"/>
    <row r="227" ht="27.75" customHeight="1" x14ac:dyDescent="0.25"/>
    <row r="228" ht="27.75" customHeight="1" x14ac:dyDescent="0.25"/>
    <row r="229" ht="27.75" customHeight="1" x14ac:dyDescent="0.25"/>
    <row r="230" ht="27.75" customHeight="1" x14ac:dyDescent="0.25"/>
    <row r="231" ht="33" customHeight="1" x14ac:dyDescent="0.25"/>
    <row r="232" ht="28.5" customHeight="1" x14ac:dyDescent="0.25"/>
    <row r="233" ht="27.75" customHeight="1" x14ac:dyDescent="0.25"/>
    <row r="234" ht="27.75" customHeight="1" x14ac:dyDescent="0.25"/>
    <row r="235" ht="27.75" customHeight="1" x14ac:dyDescent="0.25"/>
    <row r="236" ht="27.75" customHeight="1" x14ac:dyDescent="0.25"/>
    <row r="237" ht="27.75" customHeight="1" x14ac:dyDescent="0.25"/>
    <row r="238" ht="45" customHeight="1" x14ac:dyDescent="0.25"/>
    <row r="239" ht="48" customHeight="1" x14ac:dyDescent="0.25"/>
    <row r="240" ht="27.75" customHeight="1" x14ac:dyDescent="0.25"/>
    <row r="241" ht="40.5" customHeight="1" x14ac:dyDescent="0.25"/>
    <row r="242" ht="27" customHeight="1" x14ac:dyDescent="0.25"/>
    <row r="243" ht="27" customHeight="1" x14ac:dyDescent="0.25"/>
    <row r="244" ht="30" customHeight="1" x14ac:dyDescent="0.25"/>
    <row r="277" ht="48" customHeight="1" x14ac:dyDescent="0.25"/>
    <row r="278" ht="27.75" customHeight="1" x14ac:dyDescent="0.25"/>
    <row r="279" ht="40.5" customHeight="1" x14ac:dyDescent="0.25"/>
    <row r="280" ht="27" customHeight="1" x14ac:dyDescent="0.25"/>
    <row r="281" ht="27" customHeight="1" x14ac:dyDescent="0.25"/>
    <row r="282" ht="30" customHeight="1" x14ac:dyDescent="0.25"/>
    <row r="321" ht="27.75" customHeight="1" x14ac:dyDescent="0.25"/>
    <row r="322" ht="27.75" customHeight="1" x14ac:dyDescent="0.25"/>
    <row r="323" ht="27.75" customHeight="1" x14ac:dyDescent="0.25"/>
    <row r="324" ht="27.75" customHeight="1" x14ac:dyDescent="0.25"/>
    <row r="325" ht="33" customHeight="1" x14ac:dyDescent="0.25"/>
    <row r="326" ht="28.5" customHeight="1" x14ac:dyDescent="0.25"/>
    <row r="327" ht="27.75" customHeight="1" x14ac:dyDescent="0.25"/>
    <row r="328" ht="27.75" customHeight="1" x14ac:dyDescent="0.25"/>
    <row r="329" ht="27.75" customHeight="1" x14ac:dyDescent="0.25"/>
    <row r="330" ht="27.75" customHeight="1" x14ac:dyDescent="0.25"/>
    <row r="331" ht="27.75" customHeight="1" x14ac:dyDescent="0.25"/>
    <row r="332" ht="45" customHeight="1" x14ac:dyDescent="0.25"/>
    <row r="333" ht="48" customHeight="1" x14ac:dyDescent="0.25"/>
    <row r="334" ht="27.75" customHeight="1" x14ac:dyDescent="0.25"/>
    <row r="335" ht="40.5" customHeight="1" x14ac:dyDescent="0.25"/>
    <row r="336" ht="19.5" customHeight="1" x14ac:dyDescent="0.25"/>
    <row r="337" ht="19.5" customHeight="1" x14ac:dyDescent="0.25"/>
    <row r="338" ht="19.5" customHeight="1" x14ac:dyDescent="0.25"/>
    <row r="357" ht="27.75" customHeight="1" x14ac:dyDescent="0.25"/>
    <row r="358" ht="27.75" customHeight="1" x14ac:dyDescent="0.25"/>
    <row r="359" ht="27.75" customHeight="1" x14ac:dyDescent="0.25"/>
    <row r="360" ht="27.75" customHeight="1" x14ac:dyDescent="0.25"/>
    <row r="361" ht="33" customHeight="1" x14ac:dyDescent="0.25"/>
    <row r="362" ht="28.5" customHeight="1" x14ac:dyDescent="0.25"/>
    <row r="363" ht="27.75" customHeight="1" x14ac:dyDescent="0.25"/>
    <row r="364" ht="27.75" customHeight="1" x14ac:dyDescent="0.25"/>
    <row r="365" ht="27.75" customHeight="1" x14ac:dyDescent="0.25"/>
    <row r="366" ht="27.75" customHeight="1" x14ac:dyDescent="0.25"/>
    <row r="367" ht="27.75" customHeight="1" x14ac:dyDescent="0.25"/>
    <row r="368" ht="45" customHeight="1" x14ac:dyDescent="0.25"/>
    <row r="369" ht="48" customHeight="1" x14ac:dyDescent="0.25"/>
    <row r="370" ht="27.75" customHeight="1" x14ac:dyDescent="0.25"/>
    <row r="371" ht="40.5" customHeight="1" x14ac:dyDescent="0.25"/>
    <row r="372" ht="19.5" customHeight="1" x14ac:dyDescent="0.25"/>
    <row r="373" ht="19.5" customHeight="1" x14ac:dyDescent="0.25"/>
    <row r="374" ht="19.5" customHeight="1" x14ac:dyDescent="0.25"/>
    <row r="393" ht="27.75" customHeight="1" x14ac:dyDescent="0.25"/>
    <row r="394" ht="27.75" customHeight="1" x14ac:dyDescent="0.25"/>
    <row r="395" ht="27.75" customHeight="1" x14ac:dyDescent="0.25"/>
    <row r="396" ht="27.75" customHeight="1" x14ac:dyDescent="0.25"/>
    <row r="397" ht="33" customHeight="1" x14ac:dyDescent="0.25"/>
    <row r="398" ht="28.5" customHeight="1" x14ac:dyDescent="0.25"/>
    <row r="399" ht="27.75" customHeight="1" x14ac:dyDescent="0.25"/>
    <row r="400" ht="27.75" customHeight="1" x14ac:dyDescent="0.25"/>
    <row r="401" ht="27.75" customHeight="1" x14ac:dyDescent="0.25"/>
    <row r="402" ht="27.75" customHeight="1" x14ac:dyDescent="0.25"/>
    <row r="403" ht="27.75" customHeight="1" x14ac:dyDescent="0.25"/>
    <row r="404" ht="45" customHeight="1" x14ac:dyDescent="0.25"/>
    <row r="405" ht="48" customHeight="1" x14ac:dyDescent="0.25"/>
    <row r="406" ht="27.75" customHeight="1" x14ac:dyDescent="0.25"/>
    <row r="407" ht="40.5" customHeight="1" x14ac:dyDescent="0.25"/>
    <row r="408" ht="19.5" customHeight="1" x14ac:dyDescent="0.25"/>
    <row r="409" ht="19.5" customHeight="1" x14ac:dyDescent="0.25"/>
    <row r="410" ht="19.5" customHeight="1" x14ac:dyDescent="0.25"/>
    <row r="429" ht="27.75" customHeight="1" x14ac:dyDescent="0.25"/>
    <row r="430" ht="27.75" customHeight="1" x14ac:dyDescent="0.25"/>
    <row r="431" ht="27.75" customHeight="1" x14ac:dyDescent="0.25"/>
    <row r="432" ht="27.75" customHeight="1" x14ac:dyDescent="0.25"/>
    <row r="433" ht="33" customHeight="1" x14ac:dyDescent="0.25"/>
    <row r="434" ht="28.5" customHeight="1" x14ac:dyDescent="0.25"/>
    <row r="435" ht="27.75" customHeight="1" x14ac:dyDescent="0.25"/>
    <row r="436" ht="27.75" customHeight="1" x14ac:dyDescent="0.25"/>
    <row r="437" ht="27.75" customHeight="1" x14ac:dyDescent="0.25"/>
    <row r="438" ht="27.75" customHeight="1" x14ac:dyDescent="0.25"/>
    <row r="439" ht="27.75" customHeight="1" x14ac:dyDescent="0.25"/>
    <row r="440" ht="45" customHeight="1" x14ac:dyDescent="0.25"/>
    <row r="441" ht="48" customHeight="1" x14ac:dyDescent="0.25"/>
    <row r="442" ht="27.75" customHeight="1" x14ac:dyDescent="0.25"/>
    <row r="443" ht="40.5" customHeight="1" x14ac:dyDescent="0.25"/>
    <row r="444" ht="19.5" customHeight="1" x14ac:dyDescent="0.25"/>
    <row r="445" ht="19.5" customHeight="1" x14ac:dyDescent="0.25"/>
    <row r="446" ht="19.5" customHeight="1" x14ac:dyDescent="0.25"/>
    <row r="465" ht="27.75" customHeight="1" x14ac:dyDescent="0.25"/>
    <row r="466" ht="27.75" customHeight="1" x14ac:dyDescent="0.25"/>
    <row r="467" ht="27.75" customHeight="1" x14ac:dyDescent="0.25"/>
    <row r="468" ht="27.75" customHeight="1" x14ac:dyDescent="0.25"/>
    <row r="469" ht="33" customHeight="1" x14ac:dyDescent="0.25"/>
    <row r="470" ht="28.5" customHeight="1" x14ac:dyDescent="0.25"/>
    <row r="471" ht="27.75" customHeight="1" x14ac:dyDescent="0.25"/>
    <row r="472" ht="27.75" customHeight="1" x14ac:dyDescent="0.25"/>
    <row r="473" ht="27.75" customHeight="1" x14ac:dyDescent="0.25"/>
    <row r="474" ht="27.75" customHeight="1" x14ac:dyDescent="0.25"/>
    <row r="475" ht="27.75" customHeight="1" x14ac:dyDescent="0.25"/>
    <row r="476" ht="45" customHeight="1" x14ac:dyDescent="0.25"/>
    <row r="477" ht="48" customHeight="1" x14ac:dyDescent="0.25"/>
    <row r="478" ht="27.75" customHeight="1" x14ac:dyDescent="0.25"/>
    <row r="479" ht="40.5" customHeight="1" x14ac:dyDescent="0.25"/>
    <row r="480" ht="19.5" customHeight="1" x14ac:dyDescent="0.25"/>
    <row r="481" ht="19.5" customHeight="1" x14ac:dyDescent="0.25"/>
    <row r="482" ht="19.5" customHeight="1" x14ac:dyDescent="0.25"/>
    <row r="501" ht="27.75" customHeight="1" x14ac:dyDescent="0.25"/>
    <row r="502" ht="27.75" customHeight="1" x14ac:dyDescent="0.25"/>
    <row r="503" ht="27.75" customHeight="1" x14ac:dyDescent="0.25"/>
    <row r="504" ht="27.75" customHeight="1" x14ac:dyDescent="0.25"/>
    <row r="505" ht="33" customHeight="1" x14ac:dyDescent="0.25"/>
    <row r="506" ht="28.5" customHeight="1" x14ac:dyDescent="0.25"/>
    <row r="507" ht="27.75" customHeight="1" x14ac:dyDescent="0.25"/>
    <row r="508" ht="27.75" customHeight="1" x14ac:dyDescent="0.25"/>
    <row r="509" ht="27.75" customHeight="1" x14ac:dyDescent="0.25"/>
    <row r="510" ht="27.75" customHeight="1" x14ac:dyDescent="0.25"/>
    <row r="511" ht="27.75" customHeight="1" x14ac:dyDescent="0.25"/>
    <row r="512" ht="45" customHeight="1" x14ac:dyDescent="0.25"/>
    <row r="513" ht="48" customHeight="1" x14ac:dyDescent="0.25"/>
    <row r="514" ht="27.75" customHeight="1" x14ac:dyDescent="0.25"/>
    <row r="515" ht="40.5" customHeight="1" x14ac:dyDescent="0.25"/>
    <row r="516" ht="19.5" customHeight="1" x14ac:dyDescent="0.25"/>
    <row r="517" ht="19.5" customHeight="1" x14ac:dyDescent="0.25"/>
    <row r="518" ht="19.5" customHeight="1" x14ac:dyDescent="0.25"/>
    <row r="537" ht="27.75" customHeight="1" x14ac:dyDescent="0.25"/>
    <row r="538" ht="27.75" customHeight="1" x14ac:dyDescent="0.25"/>
    <row r="539" ht="27.75" customHeight="1" x14ac:dyDescent="0.25"/>
    <row r="540" ht="27.75" customHeight="1" x14ac:dyDescent="0.25"/>
    <row r="541" ht="33" customHeight="1" x14ac:dyDescent="0.25"/>
    <row r="542" ht="28.5" customHeight="1" x14ac:dyDescent="0.25"/>
    <row r="543" ht="27.75" customHeight="1" x14ac:dyDescent="0.25"/>
    <row r="544" ht="27.75" customHeight="1" x14ac:dyDescent="0.25"/>
    <row r="545" ht="27.75" customHeight="1" x14ac:dyDescent="0.25"/>
    <row r="546" ht="27.75" customHeight="1" x14ac:dyDescent="0.25"/>
    <row r="547" ht="27.75" customHeight="1" x14ac:dyDescent="0.25"/>
    <row r="548" ht="45" customHeight="1" x14ac:dyDescent="0.25"/>
    <row r="549" ht="48" customHeight="1" x14ac:dyDescent="0.25"/>
    <row r="550" ht="27.75" customHeight="1" x14ac:dyDescent="0.25"/>
    <row r="551" ht="40.5" customHeight="1" x14ac:dyDescent="0.25"/>
    <row r="552" ht="19.5" customHeight="1" x14ac:dyDescent="0.25"/>
    <row r="553" ht="19.5" customHeight="1" x14ac:dyDescent="0.25"/>
    <row r="554" ht="19.5" customHeight="1" x14ac:dyDescent="0.25"/>
    <row r="573" ht="27.75" customHeight="1" x14ac:dyDescent="0.25"/>
    <row r="574" ht="27.75" customHeight="1" x14ac:dyDescent="0.25"/>
    <row r="575" ht="27.75" customHeight="1" x14ac:dyDescent="0.25"/>
    <row r="576" ht="27.75" customHeight="1" x14ac:dyDescent="0.25"/>
    <row r="577" ht="33" customHeight="1" x14ac:dyDescent="0.25"/>
    <row r="578" ht="28.5" customHeight="1" x14ac:dyDescent="0.25"/>
    <row r="579" ht="27.75" customHeight="1" x14ac:dyDescent="0.25"/>
    <row r="580" ht="27.75" customHeight="1" x14ac:dyDescent="0.25"/>
    <row r="581" ht="27.75" customHeight="1" x14ac:dyDescent="0.25"/>
    <row r="582" ht="27.75" customHeight="1" x14ac:dyDescent="0.25"/>
    <row r="583" ht="27.75" customHeight="1" x14ac:dyDescent="0.25"/>
    <row r="584" ht="45" customHeight="1" x14ac:dyDescent="0.25"/>
    <row r="585" ht="48" customHeight="1" x14ac:dyDescent="0.25"/>
    <row r="586" ht="27.75" customHeight="1" x14ac:dyDescent="0.25"/>
    <row r="587" ht="40.5" customHeight="1" x14ac:dyDescent="0.25"/>
    <row r="588" ht="19.5" customHeight="1" x14ac:dyDescent="0.25"/>
    <row r="589" ht="19.5" customHeight="1" x14ac:dyDescent="0.25"/>
    <row r="590" ht="19.5" customHeight="1" x14ac:dyDescent="0.25"/>
    <row r="609" ht="27.75" customHeight="1" x14ac:dyDescent="0.25"/>
    <row r="610" ht="27.75" customHeight="1" x14ac:dyDescent="0.25"/>
    <row r="611" ht="27.75" customHeight="1" x14ac:dyDescent="0.25"/>
    <row r="612" ht="27.75" customHeight="1" x14ac:dyDescent="0.25"/>
    <row r="613" ht="33" customHeight="1" x14ac:dyDescent="0.25"/>
    <row r="614" ht="28.5" customHeight="1" x14ac:dyDescent="0.25"/>
    <row r="615" ht="27.75" customHeight="1" x14ac:dyDescent="0.25"/>
    <row r="616" ht="27.75" customHeight="1" x14ac:dyDescent="0.25"/>
    <row r="617" ht="27.75" customHeight="1" x14ac:dyDescent="0.25"/>
    <row r="618" ht="27.75" customHeight="1" x14ac:dyDescent="0.25"/>
    <row r="619" ht="27.75" customHeight="1" x14ac:dyDescent="0.25"/>
    <row r="620" ht="45" customHeight="1" x14ac:dyDescent="0.25"/>
    <row r="621" ht="48" customHeight="1" x14ac:dyDescent="0.25"/>
    <row r="622" ht="27.75" customHeight="1" x14ac:dyDescent="0.25"/>
    <row r="623" ht="40.5" customHeight="1" x14ac:dyDescent="0.25"/>
    <row r="624" ht="19.5" customHeight="1" x14ac:dyDescent="0.25"/>
    <row r="625" ht="19.5" customHeight="1" x14ac:dyDescent="0.25"/>
    <row r="626" ht="19.5" customHeight="1" x14ac:dyDescent="0.25"/>
    <row r="645" ht="27.75" customHeight="1" x14ac:dyDescent="0.25"/>
    <row r="646" ht="27.75" customHeight="1" x14ac:dyDescent="0.25"/>
    <row r="647" ht="27.75" customHeight="1" x14ac:dyDescent="0.25"/>
    <row r="648" ht="27.75" customHeight="1" x14ac:dyDescent="0.25"/>
    <row r="649" ht="33" customHeight="1" x14ac:dyDescent="0.25"/>
    <row r="650" ht="28.5" customHeight="1" x14ac:dyDescent="0.25"/>
    <row r="651" ht="27.75" customHeight="1" x14ac:dyDescent="0.25"/>
    <row r="652" ht="27.75" customHeight="1" x14ac:dyDescent="0.25"/>
    <row r="653" ht="27.75" customHeight="1" x14ac:dyDescent="0.25"/>
    <row r="654" ht="27.75" customHeight="1" x14ac:dyDescent="0.25"/>
    <row r="655" ht="27.75" customHeight="1" x14ac:dyDescent="0.25"/>
    <row r="656" ht="45" customHeight="1" x14ac:dyDescent="0.25"/>
    <row r="657" ht="48" customHeight="1" x14ac:dyDescent="0.25"/>
    <row r="658" ht="27.75" customHeight="1" x14ac:dyDescent="0.25"/>
    <row r="659" ht="40.5" customHeight="1" x14ac:dyDescent="0.25"/>
    <row r="660" ht="19.5" customHeight="1" x14ac:dyDescent="0.25"/>
    <row r="661" ht="19.5" customHeight="1" x14ac:dyDescent="0.25"/>
    <row r="662" ht="19.5" customHeight="1" x14ac:dyDescent="0.25"/>
    <row r="681" ht="27.75" customHeight="1" x14ac:dyDescent="0.25"/>
    <row r="682" ht="27.75" customHeight="1" x14ac:dyDescent="0.25"/>
    <row r="683" ht="27.75" customHeight="1" x14ac:dyDescent="0.25"/>
    <row r="684" ht="27.75" customHeight="1" x14ac:dyDescent="0.25"/>
    <row r="685" ht="33" customHeight="1" x14ac:dyDescent="0.25"/>
    <row r="686" ht="28.5" customHeight="1" x14ac:dyDescent="0.25"/>
    <row r="687" ht="27.75" customHeight="1" x14ac:dyDescent="0.25"/>
    <row r="688" ht="27.75" customHeight="1" x14ac:dyDescent="0.25"/>
    <row r="689" ht="27.75" customHeight="1" x14ac:dyDescent="0.25"/>
    <row r="690" ht="27.75" customHeight="1" x14ac:dyDescent="0.25"/>
    <row r="691" ht="27.75" customHeight="1" x14ac:dyDescent="0.25"/>
    <row r="692" ht="45" customHeight="1" x14ac:dyDescent="0.25"/>
    <row r="693" ht="48" customHeight="1" x14ac:dyDescent="0.25"/>
    <row r="694" ht="27.75" customHeight="1" x14ac:dyDescent="0.25"/>
    <row r="695" ht="40.5" customHeight="1" x14ac:dyDescent="0.25"/>
    <row r="696" ht="19.5" customHeight="1" x14ac:dyDescent="0.25"/>
    <row r="697" ht="19.5" customHeight="1" x14ac:dyDescent="0.25"/>
    <row r="698" ht="19.5" customHeight="1" x14ac:dyDescent="0.25"/>
    <row r="717" ht="27.75" customHeight="1" x14ac:dyDescent="0.25"/>
    <row r="718" ht="27.75" customHeight="1" x14ac:dyDescent="0.25"/>
    <row r="719" ht="27.75" customHeight="1" x14ac:dyDescent="0.25"/>
    <row r="720" ht="27.75" customHeight="1" x14ac:dyDescent="0.25"/>
    <row r="721" ht="33" customHeight="1" x14ac:dyDescent="0.25"/>
    <row r="722" ht="28.5" customHeight="1" x14ac:dyDescent="0.25"/>
    <row r="723" ht="27.75" customHeight="1" x14ac:dyDescent="0.25"/>
    <row r="724" ht="27.75" customHeight="1" x14ac:dyDescent="0.25"/>
    <row r="725" ht="27.75" customHeight="1" x14ac:dyDescent="0.25"/>
    <row r="726" ht="27.75" customHeight="1" x14ac:dyDescent="0.25"/>
    <row r="727" ht="27.75" customHeight="1" x14ac:dyDescent="0.25"/>
    <row r="728" ht="45" customHeight="1" x14ac:dyDescent="0.25"/>
    <row r="729" ht="48" customHeight="1" x14ac:dyDescent="0.25"/>
    <row r="730" ht="27.75" customHeight="1" x14ac:dyDescent="0.25"/>
    <row r="731" ht="40.5" customHeight="1" x14ac:dyDescent="0.25"/>
    <row r="732" ht="19.5" customHeight="1" x14ac:dyDescent="0.25"/>
    <row r="733" ht="19.5" customHeight="1" x14ac:dyDescent="0.25"/>
    <row r="734" ht="19.5" customHeight="1" x14ac:dyDescent="0.25"/>
    <row r="753" ht="27.75" customHeight="1" x14ac:dyDescent="0.25"/>
    <row r="754" ht="27.75" customHeight="1" x14ac:dyDescent="0.25"/>
    <row r="755" ht="27.75" customHeight="1" x14ac:dyDescent="0.25"/>
    <row r="756" ht="27.75" customHeight="1" x14ac:dyDescent="0.25"/>
    <row r="757" ht="33" customHeight="1" x14ac:dyDescent="0.25"/>
    <row r="758" ht="28.5" customHeight="1" x14ac:dyDescent="0.25"/>
    <row r="759" ht="27.75" customHeight="1" x14ac:dyDescent="0.25"/>
    <row r="760" ht="27.75" customHeight="1" x14ac:dyDescent="0.25"/>
    <row r="761" ht="27.75" customHeight="1" x14ac:dyDescent="0.25"/>
    <row r="762" ht="27.75" customHeight="1" x14ac:dyDescent="0.25"/>
    <row r="763" ht="27.75" customHeight="1" x14ac:dyDescent="0.25"/>
    <row r="764" ht="45" customHeight="1" x14ac:dyDescent="0.25"/>
    <row r="765" ht="48" customHeight="1" x14ac:dyDescent="0.25"/>
    <row r="766" ht="27.75" customHeight="1" x14ac:dyDescent="0.25"/>
    <row r="767" ht="40.5" customHeight="1" x14ac:dyDescent="0.25"/>
    <row r="768" ht="19.5" customHeight="1" x14ac:dyDescent="0.25"/>
    <row r="769" ht="19.5" customHeight="1" x14ac:dyDescent="0.25"/>
    <row r="770" ht="19.5" customHeight="1" x14ac:dyDescent="0.25"/>
    <row r="789" ht="27.75" customHeight="1" x14ac:dyDescent="0.25"/>
    <row r="790" ht="27.75" customHeight="1" x14ac:dyDescent="0.25"/>
    <row r="791" ht="27.75" customHeight="1" x14ac:dyDescent="0.25"/>
    <row r="792" ht="27.75" customHeight="1" x14ac:dyDescent="0.25"/>
    <row r="793" ht="33" customHeight="1" x14ac:dyDescent="0.25"/>
    <row r="794" ht="28.5" customHeight="1" x14ac:dyDescent="0.25"/>
    <row r="795" ht="27.75" customHeight="1" x14ac:dyDescent="0.25"/>
    <row r="796" ht="27.75" customHeight="1" x14ac:dyDescent="0.25"/>
    <row r="797" ht="27.75" customHeight="1" x14ac:dyDescent="0.25"/>
    <row r="798" ht="27.75" customHeight="1" x14ac:dyDescent="0.25"/>
    <row r="799" ht="27.75" customHeight="1" x14ac:dyDescent="0.25"/>
    <row r="800" ht="45" customHeight="1" x14ac:dyDescent="0.25"/>
    <row r="801" ht="48" customHeight="1" x14ac:dyDescent="0.25"/>
    <row r="802" ht="27.75" customHeight="1" x14ac:dyDescent="0.25"/>
    <row r="803" ht="40.5" customHeight="1" x14ac:dyDescent="0.25"/>
    <row r="804" ht="19.5" customHeight="1" x14ac:dyDescent="0.25"/>
    <row r="805" ht="19.5" customHeight="1" x14ac:dyDescent="0.25"/>
    <row r="806" ht="19.5" customHeight="1" x14ac:dyDescent="0.25"/>
    <row r="825" ht="27.75" customHeight="1" x14ac:dyDescent="0.25"/>
    <row r="826" ht="27.75" customHeight="1" x14ac:dyDescent="0.25"/>
    <row r="827" ht="27.75" customHeight="1" x14ac:dyDescent="0.25"/>
    <row r="828" ht="27.75" customHeight="1" x14ac:dyDescent="0.25"/>
    <row r="829" ht="33" customHeight="1" x14ac:dyDescent="0.25"/>
    <row r="830" ht="28.5" customHeight="1" x14ac:dyDescent="0.25"/>
    <row r="831" ht="27.75" customHeight="1" x14ac:dyDescent="0.25"/>
    <row r="832" ht="27.75" customHeight="1" x14ac:dyDescent="0.25"/>
    <row r="833" ht="27.75" customHeight="1" x14ac:dyDescent="0.25"/>
    <row r="834" ht="27.75" customHeight="1" x14ac:dyDescent="0.25"/>
    <row r="835" ht="27.75" customHeight="1" x14ac:dyDescent="0.25"/>
    <row r="836" ht="45" customHeight="1" x14ac:dyDescent="0.25"/>
    <row r="837" ht="48" customHeight="1" x14ac:dyDescent="0.25"/>
    <row r="838" ht="27.75" customHeight="1" x14ac:dyDescent="0.25"/>
    <row r="839" ht="40.5" customHeight="1" x14ac:dyDescent="0.25"/>
    <row r="840" ht="19.5" customHeight="1" x14ac:dyDescent="0.25"/>
    <row r="841" ht="19.5" customHeight="1" x14ac:dyDescent="0.25"/>
    <row r="842" ht="19.5" customHeight="1" x14ac:dyDescent="0.25"/>
    <row r="861" ht="27.75" customHeight="1" x14ac:dyDescent="0.25"/>
    <row r="862" ht="27.75" customHeight="1" x14ac:dyDescent="0.25"/>
    <row r="863" ht="27.75" customHeight="1" x14ac:dyDescent="0.25"/>
    <row r="864" ht="27.75" customHeight="1" x14ac:dyDescent="0.25"/>
    <row r="865" ht="33" customHeight="1" x14ac:dyDescent="0.25"/>
    <row r="866" ht="28.5" customHeight="1" x14ac:dyDescent="0.25"/>
    <row r="867" ht="27.75" customHeight="1" x14ac:dyDescent="0.25"/>
    <row r="868" ht="27.75" customHeight="1" x14ac:dyDescent="0.25"/>
    <row r="869" ht="27.75" customHeight="1" x14ac:dyDescent="0.25"/>
    <row r="870" ht="27.75" customHeight="1" x14ac:dyDescent="0.25"/>
    <row r="871" ht="27.75" customHeight="1" x14ac:dyDescent="0.25"/>
    <row r="872" ht="45" customHeight="1" x14ac:dyDescent="0.25"/>
    <row r="873" ht="48" customHeight="1" x14ac:dyDescent="0.25"/>
    <row r="874" ht="27.75" customHeight="1" x14ac:dyDescent="0.25"/>
    <row r="875" ht="40.5" customHeight="1" x14ac:dyDescent="0.25"/>
    <row r="876" ht="19.5" customHeight="1" x14ac:dyDescent="0.25"/>
    <row r="877" ht="19.5" customHeight="1" x14ac:dyDescent="0.25"/>
    <row r="878" ht="19.5" customHeight="1" x14ac:dyDescent="0.25"/>
    <row r="897" ht="27.75" customHeight="1" x14ac:dyDescent="0.25"/>
    <row r="898" ht="27.75" customHeight="1" x14ac:dyDescent="0.25"/>
    <row r="899" ht="27.75" customHeight="1" x14ac:dyDescent="0.25"/>
    <row r="900" ht="27.75" customHeight="1" x14ac:dyDescent="0.25"/>
    <row r="901" ht="33" customHeight="1" x14ac:dyDescent="0.25"/>
    <row r="902" ht="28.5" customHeight="1" x14ac:dyDescent="0.25"/>
    <row r="903" ht="27.75" customHeight="1" x14ac:dyDescent="0.25"/>
    <row r="904" ht="27.75" customHeight="1" x14ac:dyDescent="0.25"/>
    <row r="905" ht="27.75" customHeight="1" x14ac:dyDescent="0.25"/>
    <row r="906" ht="27.75" customHeight="1" x14ac:dyDescent="0.25"/>
    <row r="907" ht="27.75" customHeight="1" x14ac:dyDescent="0.25"/>
    <row r="908" ht="45" customHeight="1" x14ac:dyDescent="0.25"/>
    <row r="909" ht="48" customHeight="1" x14ac:dyDescent="0.25"/>
    <row r="910" ht="27.75" customHeight="1" x14ac:dyDescent="0.25"/>
    <row r="911" ht="40.5" customHeight="1" x14ac:dyDescent="0.25"/>
    <row r="912" ht="19.5" customHeight="1" x14ac:dyDescent="0.25"/>
    <row r="913" ht="19.5" customHeight="1" x14ac:dyDescent="0.25"/>
    <row r="914" ht="19.5" customHeight="1" x14ac:dyDescent="0.25"/>
    <row r="933" ht="27.75" customHeight="1" x14ac:dyDescent="0.25"/>
    <row r="934" ht="27.75" customHeight="1" x14ac:dyDescent="0.25"/>
    <row r="935" ht="27.75" customHeight="1" x14ac:dyDescent="0.25"/>
    <row r="936" ht="27.75" customHeight="1" x14ac:dyDescent="0.25"/>
    <row r="937" ht="33" customHeight="1" x14ac:dyDescent="0.25"/>
    <row r="938" ht="28.5" customHeight="1" x14ac:dyDescent="0.25"/>
    <row r="939" ht="27.75" customHeight="1" x14ac:dyDescent="0.25"/>
    <row r="940" ht="27.75" customHeight="1" x14ac:dyDescent="0.25"/>
    <row r="941" ht="27.75" customHeight="1" x14ac:dyDescent="0.25"/>
    <row r="942" ht="27.75" customHeight="1" x14ac:dyDescent="0.25"/>
    <row r="943" ht="27.75" customHeight="1" x14ac:dyDescent="0.25"/>
    <row r="944" ht="45" customHeight="1" x14ac:dyDescent="0.25"/>
    <row r="945" ht="48" customHeight="1" x14ac:dyDescent="0.25"/>
    <row r="946" ht="27.75" customHeight="1" x14ac:dyDescent="0.25"/>
    <row r="947" ht="40.5" customHeight="1" x14ac:dyDescent="0.25"/>
    <row r="948" ht="19.5" customHeight="1" x14ac:dyDescent="0.25"/>
    <row r="949" ht="19.5" customHeight="1" x14ac:dyDescent="0.25"/>
    <row r="950" ht="19.5" customHeight="1" x14ac:dyDescent="0.25"/>
    <row r="969" ht="27.75" customHeight="1" x14ac:dyDescent="0.25"/>
    <row r="970" ht="27.75" customHeight="1" x14ac:dyDescent="0.25"/>
    <row r="971" ht="27.75" customHeight="1" x14ac:dyDescent="0.25"/>
    <row r="972" ht="27.75" customHeight="1" x14ac:dyDescent="0.25"/>
    <row r="973" ht="33" customHeight="1" x14ac:dyDescent="0.25"/>
    <row r="974" ht="28.5" customHeight="1" x14ac:dyDescent="0.25"/>
    <row r="975" ht="27.75" customHeight="1" x14ac:dyDescent="0.25"/>
    <row r="976" ht="27.75" customHeight="1" x14ac:dyDescent="0.25"/>
    <row r="977" ht="27.75" customHeight="1" x14ac:dyDescent="0.25"/>
    <row r="978" ht="27.75" customHeight="1" x14ac:dyDescent="0.25"/>
    <row r="979" ht="27.75" customHeight="1" x14ac:dyDescent="0.25"/>
    <row r="980" ht="45" customHeight="1" x14ac:dyDescent="0.25"/>
    <row r="981" ht="48" customHeight="1" x14ac:dyDescent="0.25"/>
    <row r="982" ht="27.75" customHeight="1" x14ac:dyDescent="0.25"/>
    <row r="983" ht="40.5" customHeight="1" x14ac:dyDescent="0.25"/>
    <row r="984" ht="19.5" customHeight="1" x14ac:dyDescent="0.25"/>
    <row r="985" ht="19.5" customHeight="1" x14ac:dyDescent="0.25"/>
    <row r="986" ht="19.5" customHeight="1" x14ac:dyDescent="0.25"/>
    <row r="1005" ht="27.75" customHeight="1" x14ac:dyDescent="0.25"/>
    <row r="1006" ht="27.75" customHeight="1" x14ac:dyDescent="0.25"/>
    <row r="1007" ht="27.75" customHeight="1" x14ac:dyDescent="0.25"/>
    <row r="1008" ht="27.75" customHeight="1" x14ac:dyDescent="0.25"/>
    <row r="1009" ht="33" customHeight="1" x14ac:dyDescent="0.25"/>
    <row r="1010" ht="28.5" customHeight="1" x14ac:dyDescent="0.25"/>
    <row r="1011" ht="27.75" customHeight="1" x14ac:dyDescent="0.25"/>
    <row r="1012" ht="27.75" customHeight="1" x14ac:dyDescent="0.25"/>
    <row r="1013" ht="27.75" customHeight="1" x14ac:dyDescent="0.25"/>
    <row r="1014" ht="27.75" customHeight="1" x14ac:dyDescent="0.25"/>
    <row r="1015" ht="27.75" customHeight="1" x14ac:dyDescent="0.25"/>
    <row r="1016" ht="45" customHeight="1" x14ac:dyDescent="0.25"/>
    <row r="1017" ht="48" customHeight="1" x14ac:dyDescent="0.25"/>
    <row r="1018" ht="27.75" customHeight="1" x14ac:dyDescent="0.25"/>
    <row r="1019" ht="40.5" customHeight="1" x14ac:dyDescent="0.25"/>
    <row r="1020" ht="19.5" customHeight="1" x14ac:dyDescent="0.25"/>
    <row r="1021" ht="19.5" customHeight="1" x14ac:dyDescent="0.25"/>
    <row r="1022" ht="19.5" customHeight="1" x14ac:dyDescent="0.25"/>
    <row r="1041" ht="27.75" customHeight="1" x14ac:dyDescent="0.25"/>
    <row r="1042" ht="27.75" customHeight="1" x14ac:dyDescent="0.25"/>
    <row r="1043" ht="27.75" customHeight="1" x14ac:dyDescent="0.25"/>
    <row r="1044" ht="27.75" customHeight="1" x14ac:dyDescent="0.25"/>
    <row r="1045" ht="33" customHeight="1" x14ac:dyDescent="0.25"/>
    <row r="1046" ht="28.5" customHeight="1" x14ac:dyDescent="0.25"/>
    <row r="1047" ht="27.75" customHeight="1" x14ac:dyDescent="0.25"/>
    <row r="1048" ht="27.75" customHeight="1" x14ac:dyDescent="0.25"/>
    <row r="1049" ht="27.75" customHeight="1" x14ac:dyDescent="0.25"/>
    <row r="1050" ht="27.75" customHeight="1" x14ac:dyDescent="0.25"/>
    <row r="1051" ht="27.75" customHeight="1" x14ac:dyDescent="0.25"/>
    <row r="1052" ht="45" customHeight="1" x14ac:dyDescent="0.25"/>
    <row r="1053" ht="48" customHeight="1" x14ac:dyDescent="0.25"/>
    <row r="1054" ht="27.75" customHeight="1" x14ac:dyDescent="0.25"/>
    <row r="1055" ht="40.5" customHeight="1" x14ac:dyDescent="0.25"/>
    <row r="1056" ht="19.5" customHeight="1" x14ac:dyDescent="0.25"/>
    <row r="1057" ht="19.5" customHeight="1" x14ac:dyDescent="0.25"/>
    <row r="1058" ht="19.5" customHeight="1" x14ac:dyDescent="0.25"/>
    <row r="1077" ht="27.75" customHeight="1" x14ac:dyDescent="0.25"/>
    <row r="1078" ht="27.75" customHeight="1" x14ac:dyDescent="0.25"/>
    <row r="1079" ht="27.75" customHeight="1" x14ac:dyDescent="0.25"/>
    <row r="1080" ht="27.75" customHeight="1" x14ac:dyDescent="0.25"/>
    <row r="1081" ht="33" customHeight="1" x14ac:dyDescent="0.25"/>
    <row r="1082" ht="28.5" customHeight="1" x14ac:dyDescent="0.25"/>
    <row r="1083" ht="27.75" customHeight="1" x14ac:dyDescent="0.25"/>
    <row r="1084" ht="27.75" customHeight="1" x14ac:dyDescent="0.25"/>
    <row r="1085" ht="27.75" customHeight="1" x14ac:dyDescent="0.25"/>
    <row r="1086" ht="27.75" customHeight="1" x14ac:dyDescent="0.25"/>
    <row r="1087" ht="27.75" customHeight="1" x14ac:dyDescent="0.25"/>
    <row r="1088" ht="45" customHeight="1" x14ac:dyDescent="0.25"/>
    <row r="1089" ht="48" customHeight="1" x14ac:dyDescent="0.25"/>
    <row r="1090" ht="27.75" customHeight="1" x14ac:dyDescent="0.25"/>
    <row r="1091" ht="40.5" customHeight="1" x14ac:dyDescent="0.25"/>
    <row r="1092" ht="19.5" customHeight="1" x14ac:dyDescent="0.25"/>
    <row r="1093" ht="19.5" customHeight="1" x14ac:dyDescent="0.25"/>
    <row r="1094" ht="19.5" customHeight="1" x14ac:dyDescent="0.25"/>
    <row r="1113" ht="27.75" customHeight="1" x14ac:dyDescent="0.25"/>
    <row r="1114" ht="27.75" customHeight="1" x14ac:dyDescent="0.25"/>
    <row r="1115" ht="27.75" customHeight="1" x14ac:dyDescent="0.25"/>
    <row r="1116" ht="27.75" customHeight="1" x14ac:dyDescent="0.25"/>
    <row r="1117" ht="33" customHeight="1" x14ac:dyDescent="0.25"/>
    <row r="1118" ht="28.5" customHeight="1" x14ac:dyDescent="0.25"/>
    <row r="1119" ht="27.75" customHeight="1" x14ac:dyDescent="0.25"/>
    <row r="1120" ht="27.75" customHeight="1" x14ac:dyDescent="0.25"/>
    <row r="1121" ht="27.75" customHeight="1" x14ac:dyDescent="0.25"/>
    <row r="1122" ht="27.75" customHeight="1" x14ac:dyDescent="0.25"/>
    <row r="1123" ht="27.75" customHeight="1" x14ac:dyDescent="0.25"/>
    <row r="1124" ht="45" customHeight="1" x14ac:dyDescent="0.25"/>
    <row r="1125" ht="48" customHeight="1" x14ac:dyDescent="0.25"/>
    <row r="1126" ht="27.75" customHeight="1" x14ac:dyDescent="0.25"/>
    <row r="1127" ht="40.5" customHeight="1" x14ac:dyDescent="0.25"/>
    <row r="1128" ht="19.5" customHeight="1" x14ac:dyDescent="0.25"/>
    <row r="1129" ht="19.5" customHeight="1" x14ac:dyDescent="0.25"/>
    <row r="1130" ht="19.5" customHeight="1" x14ac:dyDescent="0.25"/>
    <row r="1149" ht="27.75" customHeight="1" x14ac:dyDescent="0.25"/>
    <row r="1150" ht="27.75" customHeight="1" x14ac:dyDescent="0.25"/>
    <row r="1151" ht="27.75" customHeight="1" x14ac:dyDescent="0.25"/>
    <row r="1152" ht="27.75" customHeight="1" x14ac:dyDescent="0.25"/>
    <row r="1153" ht="33" customHeight="1" x14ac:dyDescent="0.25"/>
    <row r="1154" ht="28.5" customHeight="1" x14ac:dyDescent="0.25"/>
    <row r="1155" ht="27.75" customHeight="1" x14ac:dyDescent="0.25"/>
    <row r="1156" ht="27.75" customHeight="1" x14ac:dyDescent="0.25"/>
    <row r="1157" ht="27.75" customHeight="1" x14ac:dyDescent="0.25"/>
    <row r="1158" ht="27.75" customHeight="1" x14ac:dyDescent="0.25"/>
    <row r="1159" ht="27.75" customHeight="1" x14ac:dyDescent="0.25"/>
    <row r="1160" ht="45" customHeight="1" x14ac:dyDescent="0.25"/>
    <row r="1161" ht="48" customHeight="1" x14ac:dyDescent="0.25"/>
    <row r="1162" ht="27.75" customHeight="1" x14ac:dyDescent="0.25"/>
    <row r="1163" ht="40.5" customHeight="1" x14ac:dyDescent="0.25"/>
    <row r="1164" ht="19.5" customHeight="1" x14ac:dyDescent="0.25"/>
    <row r="1165" ht="19.5" customHeight="1" x14ac:dyDescent="0.25"/>
    <row r="1166" ht="19.5" customHeight="1" x14ac:dyDescent="0.25"/>
    <row r="1185" ht="27.75" customHeight="1" x14ac:dyDescent="0.25"/>
    <row r="1186" ht="27.75" customHeight="1" x14ac:dyDescent="0.25"/>
    <row r="1187" ht="27.75" customHeight="1" x14ac:dyDescent="0.25"/>
    <row r="1188" ht="27.75" customHeight="1" x14ac:dyDescent="0.25"/>
    <row r="1189" ht="33" customHeight="1" x14ac:dyDescent="0.25"/>
    <row r="1190" ht="28.5" customHeight="1" x14ac:dyDescent="0.25"/>
    <row r="1191" ht="27.75" customHeight="1" x14ac:dyDescent="0.25"/>
    <row r="1192" ht="27.75" customHeight="1" x14ac:dyDescent="0.25"/>
    <row r="1193" ht="27.75" customHeight="1" x14ac:dyDescent="0.25"/>
    <row r="1194" ht="27.75" customHeight="1" x14ac:dyDescent="0.25"/>
    <row r="1195" ht="27.75" customHeight="1" x14ac:dyDescent="0.25"/>
    <row r="1196" ht="45" customHeight="1" x14ac:dyDescent="0.25"/>
    <row r="1197" ht="48" customHeight="1" x14ac:dyDescent="0.25"/>
    <row r="1198" ht="27.75" customHeight="1" x14ac:dyDescent="0.25"/>
    <row r="1199" ht="40.5" customHeight="1" x14ac:dyDescent="0.25"/>
    <row r="1200" ht="19.5" customHeight="1" x14ac:dyDescent="0.25"/>
    <row r="1201" ht="19.5" customHeight="1" x14ac:dyDescent="0.25"/>
    <row r="1202" ht="19.5" customHeight="1" x14ac:dyDescent="0.25"/>
    <row r="1221" ht="27.75" customHeight="1" x14ac:dyDescent="0.25"/>
    <row r="1222" ht="27.75" customHeight="1" x14ac:dyDescent="0.25"/>
    <row r="1223" ht="27.75" customHeight="1" x14ac:dyDescent="0.25"/>
    <row r="1224" ht="27.75" customHeight="1" x14ac:dyDescent="0.25"/>
    <row r="1225" ht="33" customHeight="1" x14ac:dyDescent="0.25"/>
    <row r="1226" ht="28.5" customHeight="1" x14ac:dyDescent="0.25"/>
    <row r="1227" ht="27.75" customHeight="1" x14ac:dyDescent="0.25"/>
    <row r="1228" ht="27.75" customHeight="1" x14ac:dyDescent="0.25"/>
    <row r="1229" ht="27.75" customHeight="1" x14ac:dyDescent="0.25"/>
    <row r="1230" ht="27.75" customHeight="1" x14ac:dyDescent="0.25"/>
    <row r="1231" ht="27.75" customHeight="1" x14ac:dyDescent="0.25"/>
    <row r="1232" ht="45" customHeight="1" x14ac:dyDescent="0.25"/>
    <row r="1233" ht="48" customHeight="1" x14ac:dyDescent="0.25"/>
    <row r="1234" ht="27.75" customHeight="1" x14ac:dyDescent="0.25"/>
    <row r="1235" ht="40.5" customHeight="1" x14ac:dyDescent="0.25"/>
    <row r="1236" ht="19.5" customHeight="1" x14ac:dyDescent="0.25"/>
    <row r="1237" ht="19.5" customHeight="1" x14ac:dyDescent="0.25"/>
    <row r="1238" ht="19.5" customHeight="1" x14ac:dyDescent="0.25"/>
    <row r="1257" ht="27.75" customHeight="1" x14ac:dyDescent="0.25"/>
    <row r="1258" ht="27.75" customHeight="1" x14ac:dyDescent="0.25"/>
    <row r="1259" ht="27.75" customHeight="1" x14ac:dyDescent="0.25"/>
    <row r="1260" ht="27.75" customHeight="1" x14ac:dyDescent="0.25"/>
    <row r="1261" ht="33" customHeight="1" x14ac:dyDescent="0.25"/>
    <row r="1262" ht="28.5" customHeight="1" x14ac:dyDescent="0.25"/>
    <row r="1263" ht="27.75" customHeight="1" x14ac:dyDescent="0.25"/>
    <row r="1264" ht="27.75" customHeight="1" x14ac:dyDescent="0.25"/>
    <row r="1265" ht="27.75" customHeight="1" x14ac:dyDescent="0.25"/>
    <row r="1266" ht="27.75" customHeight="1" x14ac:dyDescent="0.25"/>
    <row r="1267" ht="27.75" customHeight="1" x14ac:dyDescent="0.25"/>
    <row r="1268" ht="45" customHeight="1" x14ac:dyDescent="0.25"/>
    <row r="1269" ht="48" customHeight="1" x14ac:dyDescent="0.25"/>
    <row r="1270" ht="27.75" customHeight="1" x14ac:dyDescent="0.25"/>
    <row r="1271" ht="40.5" customHeight="1" x14ac:dyDescent="0.25"/>
    <row r="1272" ht="19.5" customHeight="1" x14ac:dyDescent="0.25"/>
    <row r="1273" ht="19.5" customHeight="1" x14ac:dyDescent="0.25"/>
    <row r="1274" ht="19.5" customHeight="1" x14ac:dyDescent="0.25"/>
    <row r="1293" ht="27.75" customHeight="1" x14ac:dyDescent="0.25"/>
    <row r="1294" ht="27.75" customHeight="1" x14ac:dyDescent="0.25"/>
    <row r="1295" ht="27.75" customHeight="1" x14ac:dyDescent="0.25"/>
    <row r="1296" ht="27.75" customHeight="1" x14ac:dyDescent="0.25"/>
    <row r="1297" ht="33" customHeight="1" x14ac:dyDescent="0.25"/>
    <row r="1298" ht="28.5" customHeight="1" x14ac:dyDescent="0.25"/>
    <row r="1299" ht="27.75" customHeight="1" x14ac:dyDescent="0.25"/>
    <row r="1300" ht="27.75" customHeight="1" x14ac:dyDescent="0.25"/>
    <row r="1301" ht="27.75" customHeight="1" x14ac:dyDescent="0.25"/>
    <row r="1302" ht="27.75" customHeight="1" x14ac:dyDescent="0.25"/>
    <row r="1303" ht="27.75" customHeight="1" x14ac:dyDescent="0.25"/>
    <row r="1304" ht="45" customHeight="1" x14ac:dyDescent="0.25"/>
    <row r="1305" ht="48" customHeight="1" x14ac:dyDescent="0.25"/>
    <row r="1306" ht="27.75" customHeight="1" x14ac:dyDescent="0.25"/>
    <row r="1307" ht="40.5" customHeight="1" x14ac:dyDescent="0.25"/>
    <row r="1308" ht="19.5" customHeight="1" x14ac:dyDescent="0.25"/>
    <row r="1309" ht="19.5" customHeight="1" x14ac:dyDescent="0.25"/>
    <row r="1310" ht="19.5" customHeight="1" x14ac:dyDescent="0.25"/>
    <row r="1329" ht="27.75" customHeight="1" x14ac:dyDescent="0.25"/>
    <row r="1330" ht="27.75" customHeight="1" x14ac:dyDescent="0.25"/>
    <row r="1331" ht="27.75" customHeight="1" x14ac:dyDescent="0.25"/>
    <row r="1332" ht="27.75" customHeight="1" x14ac:dyDescent="0.25"/>
    <row r="1333" ht="33" customHeight="1" x14ac:dyDescent="0.25"/>
    <row r="1334" ht="28.5" customHeight="1" x14ac:dyDescent="0.25"/>
    <row r="1335" ht="27.75" customHeight="1" x14ac:dyDescent="0.25"/>
    <row r="1336" ht="27.75" customHeight="1" x14ac:dyDescent="0.25"/>
    <row r="1337" ht="27.75" customHeight="1" x14ac:dyDescent="0.25"/>
    <row r="1338" ht="27.75" customHeight="1" x14ac:dyDescent="0.25"/>
    <row r="1339" ht="27.75" customHeight="1" x14ac:dyDescent="0.25"/>
    <row r="1340" ht="45" customHeight="1" x14ac:dyDescent="0.25"/>
    <row r="1341" ht="48" customHeight="1" x14ac:dyDescent="0.25"/>
    <row r="1342" ht="27.75" customHeight="1" x14ac:dyDescent="0.25"/>
    <row r="1343" ht="40.5" customHeight="1" x14ac:dyDescent="0.25"/>
    <row r="1344" ht="19.5" customHeight="1" x14ac:dyDescent="0.25"/>
    <row r="1345" ht="19.5" customHeight="1" x14ac:dyDescent="0.25"/>
    <row r="1346" ht="19.5" customHeight="1" x14ac:dyDescent="0.25"/>
    <row r="1365" ht="27.75" customHeight="1" x14ac:dyDescent="0.25"/>
    <row r="1366" ht="27.75" customHeight="1" x14ac:dyDescent="0.25"/>
    <row r="1367" ht="27.75" customHeight="1" x14ac:dyDescent="0.25"/>
    <row r="1368" ht="27.75" customHeight="1" x14ac:dyDescent="0.25"/>
    <row r="1369" ht="33" customHeight="1" x14ac:dyDescent="0.25"/>
    <row r="1370" ht="28.5" customHeight="1" x14ac:dyDescent="0.25"/>
    <row r="1371" ht="27.75" customHeight="1" x14ac:dyDescent="0.25"/>
    <row r="1372" ht="27.75" customHeight="1" x14ac:dyDescent="0.25"/>
    <row r="1373" ht="27.75" customHeight="1" x14ac:dyDescent="0.25"/>
    <row r="1374" ht="27.75" customHeight="1" x14ac:dyDescent="0.25"/>
    <row r="1375" ht="27.75" customHeight="1" x14ac:dyDescent="0.25"/>
    <row r="1376" ht="45" customHeight="1" x14ac:dyDescent="0.25"/>
    <row r="1377" ht="48" customHeight="1" x14ac:dyDescent="0.25"/>
    <row r="1378" ht="27.75" customHeight="1" x14ac:dyDescent="0.25"/>
    <row r="1379" ht="40.5" customHeight="1" x14ac:dyDescent="0.25"/>
    <row r="1380" ht="19.5" customHeight="1" x14ac:dyDescent="0.25"/>
    <row r="1381" ht="19.5" customHeight="1" x14ac:dyDescent="0.25"/>
    <row r="1382" ht="19.5" customHeight="1" x14ac:dyDescent="0.25"/>
    <row r="1401" ht="27.75" customHeight="1" x14ac:dyDescent="0.25"/>
    <row r="1402" ht="27.75" customHeight="1" x14ac:dyDescent="0.25"/>
    <row r="1403" ht="27.75" customHeight="1" x14ac:dyDescent="0.25"/>
    <row r="1404" ht="27.75" customHeight="1" x14ac:dyDescent="0.25"/>
    <row r="1405" ht="33" customHeight="1" x14ac:dyDescent="0.25"/>
    <row r="1406" ht="28.5" customHeight="1" x14ac:dyDescent="0.25"/>
    <row r="1407" ht="27.75" customHeight="1" x14ac:dyDescent="0.25"/>
    <row r="1408" ht="27.75" customHeight="1" x14ac:dyDescent="0.25"/>
    <row r="1409" ht="27.75" customHeight="1" x14ac:dyDescent="0.25"/>
    <row r="1410" ht="27.75" customHeight="1" x14ac:dyDescent="0.25"/>
    <row r="1411" ht="27.75" customHeight="1" x14ac:dyDescent="0.25"/>
    <row r="1412" ht="45" customHeight="1" x14ac:dyDescent="0.25"/>
    <row r="1413" ht="48" customHeight="1" x14ac:dyDescent="0.25"/>
    <row r="1414" ht="27.75" customHeight="1" x14ac:dyDescent="0.25"/>
    <row r="1415" ht="40.5" customHeight="1" x14ac:dyDescent="0.25"/>
    <row r="1416" ht="19.5" customHeight="1" x14ac:dyDescent="0.25"/>
    <row r="1417" ht="19.5" customHeight="1" x14ac:dyDescent="0.25"/>
    <row r="1418" ht="19.5" customHeight="1" x14ac:dyDescent="0.25"/>
    <row r="1437" ht="27.75" customHeight="1" x14ac:dyDescent="0.25"/>
    <row r="1438" ht="27.75" customHeight="1" x14ac:dyDescent="0.25"/>
    <row r="1439" ht="27.75" customHeight="1" x14ac:dyDescent="0.25"/>
    <row r="1440" ht="27.75" customHeight="1" x14ac:dyDescent="0.25"/>
    <row r="1441" ht="33" customHeight="1" x14ac:dyDescent="0.25"/>
    <row r="1442" ht="28.5" customHeight="1" x14ac:dyDescent="0.25"/>
    <row r="1443" ht="27.75" customHeight="1" x14ac:dyDescent="0.25"/>
    <row r="1444" ht="27.75" customHeight="1" x14ac:dyDescent="0.25"/>
    <row r="1445" ht="27.75" customHeight="1" x14ac:dyDescent="0.25"/>
    <row r="1446" ht="27.75" customHeight="1" x14ac:dyDescent="0.25"/>
    <row r="1447" ht="27.75" customHeight="1" x14ac:dyDescent="0.25"/>
    <row r="1448" ht="45" customHeight="1" x14ac:dyDescent="0.25"/>
    <row r="1449" ht="48" customHeight="1" x14ac:dyDescent="0.25"/>
    <row r="1450" ht="27.75" customHeight="1" x14ac:dyDescent="0.25"/>
    <row r="1451" ht="40.5" customHeight="1" x14ac:dyDescent="0.25"/>
    <row r="1452" ht="19.5" customHeight="1" x14ac:dyDescent="0.25"/>
    <row r="1453" ht="19.5" customHeight="1" x14ac:dyDescent="0.25"/>
    <row r="1454" ht="19.5" customHeight="1" x14ac:dyDescent="0.25"/>
    <row r="1473" ht="27.75" customHeight="1" x14ac:dyDescent="0.25"/>
    <row r="1474" ht="27.75" customHeight="1" x14ac:dyDescent="0.25"/>
    <row r="1475" ht="27.75" customHeight="1" x14ac:dyDescent="0.25"/>
    <row r="1476" ht="27.75" customHeight="1" x14ac:dyDescent="0.25"/>
    <row r="1477" ht="33" customHeight="1" x14ac:dyDescent="0.25"/>
    <row r="1478" ht="28.5" customHeight="1" x14ac:dyDescent="0.25"/>
    <row r="1479" ht="27.75" customHeight="1" x14ac:dyDescent="0.25"/>
    <row r="1480" ht="27.75" customHeight="1" x14ac:dyDescent="0.25"/>
    <row r="1481" ht="27.75" customHeight="1" x14ac:dyDescent="0.25"/>
    <row r="1482" ht="27.75" customHeight="1" x14ac:dyDescent="0.25"/>
    <row r="1483" ht="27.75" customHeight="1" x14ac:dyDescent="0.25"/>
    <row r="1484" ht="45" customHeight="1" x14ac:dyDescent="0.25"/>
    <row r="1485" ht="48" customHeight="1" x14ac:dyDescent="0.25"/>
    <row r="1486" ht="27.75" customHeight="1" x14ac:dyDescent="0.25"/>
    <row r="1487" ht="40.5" customHeight="1" x14ac:dyDescent="0.25"/>
    <row r="1488" ht="19.5" customHeight="1" x14ac:dyDescent="0.25"/>
    <row r="1489" ht="19.5" customHeight="1" x14ac:dyDescent="0.25"/>
    <row r="1490" ht="19.5" customHeight="1" x14ac:dyDescent="0.25"/>
    <row r="1509" ht="27.75" customHeight="1" x14ac:dyDescent="0.25"/>
    <row r="1510" ht="27.75" customHeight="1" x14ac:dyDescent="0.25"/>
    <row r="1511" ht="27.75" customHeight="1" x14ac:dyDescent="0.25"/>
    <row r="1512" ht="27.75" customHeight="1" x14ac:dyDescent="0.25"/>
    <row r="1513" ht="33" customHeight="1" x14ac:dyDescent="0.25"/>
    <row r="1514" ht="28.5" customHeight="1" x14ac:dyDescent="0.25"/>
    <row r="1515" ht="27.75" customHeight="1" x14ac:dyDescent="0.25"/>
    <row r="1516" ht="27.75" customHeight="1" x14ac:dyDescent="0.25"/>
    <row r="1517" ht="27.75" customHeight="1" x14ac:dyDescent="0.25"/>
    <row r="1518" ht="27.75" customHeight="1" x14ac:dyDescent="0.25"/>
    <row r="1519" ht="27.75" customHeight="1" x14ac:dyDescent="0.25"/>
    <row r="1520" ht="45" customHeight="1" x14ac:dyDescent="0.25"/>
    <row r="1521" ht="48" customHeight="1" x14ac:dyDescent="0.25"/>
    <row r="1522" ht="27.75" customHeight="1" x14ac:dyDescent="0.25"/>
    <row r="1523" ht="40.5" customHeight="1" x14ac:dyDescent="0.25"/>
    <row r="1524" ht="19.5" customHeight="1" x14ac:dyDescent="0.25"/>
    <row r="1525" ht="19.5" customHeight="1" x14ac:dyDescent="0.25"/>
    <row r="1526" ht="19.5" customHeight="1" x14ac:dyDescent="0.25"/>
    <row r="1545" ht="27.75" customHeight="1" x14ac:dyDescent="0.25"/>
    <row r="1546" ht="27.75" customHeight="1" x14ac:dyDescent="0.25"/>
    <row r="1547" ht="27.75" customHeight="1" x14ac:dyDescent="0.25"/>
    <row r="1548" ht="27.75" customHeight="1" x14ac:dyDescent="0.25"/>
    <row r="1549" ht="33" customHeight="1" x14ac:dyDescent="0.25"/>
    <row r="1550" ht="28.5" customHeight="1" x14ac:dyDescent="0.25"/>
    <row r="1551" ht="27.75" customHeight="1" x14ac:dyDescent="0.25"/>
    <row r="1552" ht="27.75" customHeight="1" x14ac:dyDescent="0.25"/>
    <row r="1553" ht="27.75" customHeight="1" x14ac:dyDescent="0.25"/>
    <row r="1554" ht="27.75" customHeight="1" x14ac:dyDescent="0.25"/>
    <row r="1555" ht="27.75" customHeight="1" x14ac:dyDescent="0.25"/>
    <row r="1556" ht="45" customHeight="1" x14ac:dyDescent="0.25"/>
    <row r="1557" ht="48" customHeight="1" x14ac:dyDescent="0.25"/>
    <row r="1558" ht="27.75" customHeight="1" x14ac:dyDescent="0.25"/>
    <row r="1559" ht="40.5" customHeight="1" x14ac:dyDescent="0.25"/>
    <row r="1560" ht="19.5" customHeight="1" x14ac:dyDescent="0.25"/>
    <row r="1561" ht="19.5" customHeight="1" x14ac:dyDescent="0.25"/>
    <row r="1562" ht="19.5" customHeight="1" x14ac:dyDescent="0.25"/>
    <row r="1581" ht="27.75" customHeight="1" x14ac:dyDescent="0.25"/>
    <row r="1582" ht="27.75" customHeight="1" x14ac:dyDescent="0.25"/>
    <row r="1583" ht="27.75" customHeight="1" x14ac:dyDescent="0.25"/>
    <row r="1584" ht="27.75" customHeight="1" x14ac:dyDescent="0.25"/>
    <row r="1585" ht="33" customHeight="1" x14ac:dyDescent="0.25"/>
    <row r="1586" ht="28.5" customHeight="1" x14ac:dyDescent="0.25"/>
    <row r="1587" ht="27.75" customHeight="1" x14ac:dyDescent="0.25"/>
    <row r="1588" ht="27.75" customHeight="1" x14ac:dyDescent="0.25"/>
    <row r="1589" ht="27.75" customHeight="1" x14ac:dyDescent="0.25"/>
    <row r="1590" ht="27.75" customHeight="1" x14ac:dyDescent="0.25"/>
    <row r="1591" ht="27.75" customHeight="1" x14ac:dyDescent="0.25"/>
    <row r="1592" ht="45" customHeight="1" x14ac:dyDescent="0.25"/>
    <row r="1593" ht="48" customHeight="1" x14ac:dyDescent="0.25"/>
    <row r="1594" ht="27.75" customHeight="1" x14ac:dyDescent="0.25"/>
    <row r="1595" ht="40.5" customHeight="1" x14ac:dyDescent="0.25"/>
    <row r="1596" ht="19.5" customHeight="1" x14ac:dyDescent="0.25"/>
    <row r="1597" ht="19.5" customHeight="1" x14ac:dyDescent="0.25"/>
    <row r="1598" ht="19.5" customHeight="1" x14ac:dyDescent="0.25"/>
    <row r="1617" ht="27.75" customHeight="1" x14ac:dyDescent="0.25"/>
    <row r="1618" ht="27.75" customHeight="1" x14ac:dyDescent="0.25"/>
    <row r="1619" ht="27.75" customHeight="1" x14ac:dyDescent="0.25"/>
    <row r="1620" ht="27.75" customHeight="1" x14ac:dyDescent="0.25"/>
    <row r="1621" ht="33" customHeight="1" x14ac:dyDescent="0.25"/>
    <row r="1622" ht="28.5" customHeight="1" x14ac:dyDescent="0.25"/>
    <row r="1623" ht="27.75" customHeight="1" x14ac:dyDescent="0.25"/>
    <row r="1624" ht="27.75" customHeight="1" x14ac:dyDescent="0.25"/>
    <row r="1625" ht="27.75" customHeight="1" x14ac:dyDescent="0.25"/>
    <row r="1626" ht="27.75" customHeight="1" x14ac:dyDescent="0.25"/>
    <row r="1627" ht="27.75" customHeight="1" x14ac:dyDescent="0.25"/>
    <row r="1628" ht="45" customHeight="1" x14ac:dyDescent="0.25"/>
    <row r="1629" ht="48" customHeight="1" x14ac:dyDescent="0.25"/>
    <row r="1630" ht="27.75" customHeight="1" x14ac:dyDescent="0.25"/>
    <row r="1631" ht="40.5" customHeight="1" x14ac:dyDescent="0.25"/>
    <row r="1632" ht="19.5" customHeight="1" x14ac:dyDescent="0.25"/>
    <row r="1633" ht="19.5" customHeight="1" x14ac:dyDescent="0.25"/>
    <row r="1634" ht="19.5" customHeight="1" x14ac:dyDescent="0.25"/>
    <row r="1653" ht="27.75" customHeight="1" x14ac:dyDescent="0.25"/>
    <row r="1654" ht="27.75" customHeight="1" x14ac:dyDescent="0.25"/>
    <row r="1655" ht="27.75" customHeight="1" x14ac:dyDescent="0.25"/>
    <row r="1656" ht="27.75" customHeight="1" x14ac:dyDescent="0.25"/>
    <row r="1657" ht="33" customHeight="1" x14ac:dyDescent="0.25"/>
    <row r="1658" ht="28.5" customHeight="1" x14ac:dyDescent="0.25"/>
    <row r="1659" ht="27.75" customHeight="1" x14ac:dyDescent="0.25"/>
    <row r="1660" ht="27.75" customHeight="1" x14ac:dyDescent="0.25"/>
    <row r="1661" ht="27.75" customHeight="1" x14ac:dyDescent="0.25"/>
    <row r="1662" ht="27.75" customHeight="1" x14ac:dyDescent="0.25"/>
    <row r="1663" ht="27.75" customHeight="1" x14ac:dyDescent="0.25"/>
    <row r="1664" ht="45" customHeight="1" x14ac:dyDescent="0.25"/>
    <row r="1665" ht="48" customHeight="1" x14ac:dyDescent="0.25"/>
    <row r="1666" ht="27.75" customHeight="1" x14ac:dyDescent="0.25"/>
    <row r="1667" ht="40.5" customHeight="1" x14ac:dyDescent="0.25"/>
    <row r="1668" ht="19.5" customHeight="1" x14ac:dyDescent="0.25"/>
    <row r="1669" ht="19.5" customHeight="1" x14ac:dyDescent="0.25"/>
    <row r="1670" ht="19.5" customHeight="1" x14ac:dyDescent="0.25"/>
    <row r="1689" ht="27.75" customHeight="1" x14ac:dyDescent="0.25"/>
    <row r="1690" ht="27.75" customHeight="1" x14ac:dyDescent="0.25"/>
    <row r="1691" ht="27.75" customHeight="1" x14ac:dyDescent="0.25"/>
    <row r="1692" ht="27.75" customHeight="1" x14ac:dyDescent="0.25"/>
    <row r="1693" ht="33" customHeight="1" x14ac:dyDescent="0.25"/>
    <row r="1694" ht="28.5" customHeight="1" x14ac:dyDescent="0.25"/>
    <row r="1695" ht="27.75" customHeight="1" x14ac:dyDescent="0.25"/>
    <row r="1696" ht="27.75" customHeight="1" x14ac:dyDescent="0.25"/>
    <row r="1697" ht="27.75" customHeight="1" x14ac:dyDescent="0.25"/>
    <row r="1698" ht="27.75" customHeight="1" x14ac:dyDescent="0.25"/>
    <row r="1699" ht="27.75" customHeight="1" x14ac:dyDescent="0.25"/>
    <row r="1700" ht="45" customHeight="1" x14ac:dyDescent="0.25"/>
    <row r="1701" ht="48" customHeight="1" x14ac:dyDescent="0.25"/>
    <row r="1702" ht="27.75" customHeight="1" x14ac:dyDescent="0.25"/>
    <row r="1703" ht="40.5" customHeight="1" x14ac:dyDescent="0.25"/>
    <row r="1704" ht="19.5" customHeight="1" x14ac:dyDescent="0.25"/>
    <row r="1705" ht="19.5" customHeight="1" x14ac:dyDescent="0.25"/>
    <row r="1706" ht="19.5" customHeight="1" x14ac:dyDescent="0.25"/>
    <row r="1725" ht="27.75" customHeight="1" x14ac:dyDescent="0.25"/>
    <row r="1726" ht="27.75" customHeight="1" x14ac:dyDescent="0.25"/>
    <row r="1727" ht="27.75" customHeight="1" x14ac:dyDescent="0.25"/>
    <row r="1728" ht="27.75" customHeight="1" x14ac:dyDescent="0.25"/>
    <row r="1729" ht="33" customHeight="1" x14ac:dyDescent="0.25"/>
    <row r="1730" ht="28.5" customHeight="1" x14ac:dyDescent="0.25"/>
    <row r="1731" ht="27.75" customHeight="1" x14ac:dyDescent="0.25"/>
    <row r="1732" ht="27.75" customHeight="1" x14ac:dyDescent="0.25"/>
    <row r="1733" ht="27.75" customHeight="1" x14ac:dyDescent="0.25"/>
    <row r="1734" ht="27.75" customHeight="1" x14ac:dyDescent="0.25"/>
    <row r="1735" ht="27.75" customHeight="1" x14ac:dyDescent="0.25"/>
    <row r="1736" ht="45" customHeight="1" x14ac:dyDescent="0.25"/>
    <row r="1737" ht="48" customHeight="1" x14ac:dyDescent="0.25"/>
    <row r="1738" ht="27.75" customHeight="1" x14ac:dyDescent="0.25"/>
    <row r="1739" ht="40.5" customHeight="1" x14ac:dyDescent="0.25"/>
    <row r="1740" ht="19.5" customHeight="1" x14ac:dyDescent="0.25"/>
    <row r="1741" ht="19.5" customHeight="1" x14ac:dyDescent="0.25"/>
    <row r="1742" ht="19.5" customHeight="1" x14ac:dyDescent="0.25"/>
    <row r="1761" ht="27.75" customHeight="1" x14ac:dyDescent="0.25"/>
    <row r="1762" ht="27.75" customHeight="1" x14ac:dyDescent="0.25"/>
    <row r="1763" ht="27.75" customHeight="1" x14ac:dyDescent="0.25"/>
    <row r="1764" ht="27.75" customHeight="1" x14ac:dyDescent="0.25"/>
    <row r="1765" ht="33" customHeight="1" x14ac:dyDescent="0.25"/>
    <row r="1766" ht="28.5" customHeight="1" x14ac:dyDescent="0.25"/>
    <row r="1767" ht="27.75" customHeight="1" x14ac:dyDescent="0.25"/>
    <row r="1768" ht="27.75" customHeight="1" x14ac:dyDescent="0.25"/>
    <row r="1769" ht="27.75" customHeight="1" x14ac:dyDescent="0.25"/>
    <row r="1770" ht="27.75" customHeight="1" x14ac:dyDescent="0.25"/>
    <row r="1771" ht="27.75" customHeight="1" x14ac:dyDescent="0.25"/>
    <row r="1772" ht="45" customHeight="1" x14ac:dyDescent="0.25"/>
    <row r="1773" ht="48" customHeight="1" x14ac:dyDescent="0.25"/>
    <row r="1774" ht="27.75" customHeight="1" x14ac:dyDescent="0.25"/>
    <row r="1775" ht="40.5" customHeight="1" x14ac:dyDescent="0.25"/>
    <row r="1776" ht="19.5" customHeight="1" x14ac:dyDescent="0.25"/>
    <row r="1777" ht="19.5" customHeight="1" x14ac:dyDescent="0.25"/>
    <row r="1778" ht="19.5" customHeight="1" x14ac:dyDescent="0.25"/>
    <row r="1797" ht="27.75" customHeight="1" x14ac:dyDescent="0.25"/>
    <row r="1798" ht="27.75" customHeight="1" x14ac:dyDescent="0.25"/>
    <row r="1799" ht="27.75" customHeight="1" x14ac:dyDescent="0.25"/>
    <row r="1800" ht="27.75" customHeight="1" x14ac:dyDescent="0.25"/>
    <row r="1801" ht="33" customHeight="1" x14ac:dyDescent="0.25"/>
    <row r="1802" ht="28.5" customHeight="1" x14ac:dyDescent="0.25"/>
    <row r="1803" ht="27.75" customHeight="1" x14ac:dyDescent="0.25"/>
    <row r="1804" ht="27.75" customHeight="1" x14ac:dyDescent="0.25"/>
    <row r="1805" ht="27.75" customHeight="1" x14ac:dyDescent="0.25"/>
    <row r="1806" ht="27.75" customHeight="1" x14ac:dyDescent="0.25"/>
    <row r="1807" ht="27.75" customHeight="1" x14ac:dyDescent="0.25"/>
    <row r="1808" ht="45" customHeight="1" x14ac:dyDescent="0.25"/>
    <row r="1809" ht="48" customHeight="1" x14ac:dyDescent="0.25"/>
    <row r="1810" ht="27.75" customHeight="1" x14ac:dyDescent="0.25"/>
    <row r="1811" ht="40.5" customHeight="1" x14ac:dyDescent="0.25"/>
    <row r="1812" ht="19.5" customHeight="1" x14ac:dyDescent="0.25"/>
    <row r="1813" ht="19.5" customHeight="1" x14ac:dyDescent="0.25"/>
    <row r="1814" ht="19.5" customHeight="1" x14ac:dyDescent="0.25"/>
    <row r="1833" ht="27.75" customHeight="1" x14ac:dyDescent="0.25"/>
    <row r="1834" ht="27.75" customHeight="1" x14ac:dyDescent="0.25"/>
    <row r="1835" ht="27.75" customHeight="1" x14ac:dyDescent="0.25"/>
    <row r="1836" ht="27.75" customHeight="1" x14ac:dyDescent="0.25"/>
    <row r="1837" ht="33" customHeight="1" x14ac:dyDescent="0.25"/>
    <row r="1838" ht="28.5" customHeight="1" x14ac:dyDescent="0.25"/>
    <row r="1839" ht="27.75" customHeight="1" x14ac:dyDescent="0.25"/>
    <row r="1840" ht="27.75" customHeight="1" x14ac:dyDescent="0.25"/>
    <row r="1841" ht="27.75" customHeight="1" x14ac:dyDescent="0.25"/>
    <row r="1842" ht="27.75" customHeight="1" x14ac:dyDescent="0.25"/>
    <row r="1843" ht="27.75" customHeight="1" x14ac:dyDescent="0.25"/>
    <row r="1844" ht="45" customHeight="1" x14ac:dyDescent="0.25"/>
    <row r="1845" ht="48" customHeight="1" x14ac:dyDescent="0.25"/>
    <row r="1846" ht="27.75" customHeight="1" x14ac:dyDescent="0.25"/>
    <row r="1847" ht="40.5" customHeight="1" x14ac:dyDescent="0.25"/>
    <row r="1848" ht="19.5" customHeight="1" x14ac:dyDescent="0.25"/>
    <row r="1849" ht="19.5" customHeight="1" x14ac:dyDescent="0.25"/>
    <row r="1850" ht="19.5" customHeight="1" x14ac:dyDescent="0.25"/>
    <row r="1869" ht="27.75" customHeight="1" x14ac:dyDescent="0.25"/>
    <row r="1870" ht="27.75" customHeight="1" x14ac:dyDescent="0.25"/>
    <row r="1871" ht="27.75" customHeight="1" x14ac:dyDescent="0.25"/>
    <row r="1872" ht="27.75" customHeight="1" x14ac:dyDescent="0.25"/>
    <row r="1873" ht="33" customHeight="1" x14ac:dyDescent="0.25"/>
    <row r="1874" ht="28.5" customHeight="1" x14ac:dyDescent="0.25"/>
    <row r="1875" ht="27.75" customHeight="1" x14ac:dyDescent="0.25"/>
    <row r="1876" ht="27.75" customHeight="1" x14ac:dyDescent="0.25"/>
    <row r="1877" ht="27.75" customHeight="1" x14ac:dyDescent="0.25"/>
    <row r="1878" ht="27.75" customHeight="1" x14ac:dyDescent="0.25"/>
    <row r="1879" ht="27.75" customHeight="1" x14ac:dyDescent="0.25"/>
    <row r="1880" ht="45" customHeight="1" x14ac:dyDescent="0.25"/>
    <row r="1881" ht="48" customHeight="1" x14ac:dyDescent="0.25"/>
    <row r="1882" ht="27.75" customHeight="1" x14ac:dyDescent="0.25"/>
    <row r="1883" ht="40.5" customHeight="1" x14ac:dyDescent="0.25"/>
    <row r="1884" ht="19.5" customHeight="1" x14ac:dyDescent="0.25"/>
    <row r="1885" ht="19.5" customHeight="1" x14ac:dyDescent="0.25"/>
    <row r="1886" ht="19.5" customHeight="1" x14ac:dyDescent="0.25"/>
    <row r="1905" ht="27.75" customHeight="1" x14ac:dyDescent="0.25"/>
    <row r="1906" ht="27.75" customHeight="1" x14ac:dyDescent="0.25"/>
    <row r="1907" ht="27.75" customHeight="1" x14ac:dyDescent="0.25"/>
    <row r="1908" ht="27.75" customHeight="1" x14ac:dyDescent="0.25"/>
    <row r="1909" ht="33" customHeight="1" x14ac:dyDescent="0.25"/>
    <row r="1910" ht="28.5" customHeight="1" x14ac:dyDescent="0.25"/>
    <row r="1911" ht="27.75" customHeight="1" x14ac:dyDescent="0.25"/>
    <row r="1912" ht="27.75" customHeight="1" x14ac:dyDescent="0.25"/>
    <row r="1913" ht="27.75" customHeight="1" x14ac:dyDescent="0.25"/>
    <row r="1914" ht="27.75" customHeight="1" x14ac:dyDescent="0.25"/>
    <row r="1915" ht="27.75" customHeight="1" x14ac:dyDescent="0.25"/>
    <row r="1916" ht="45" customHeight="1" x14ac:dyDescent="0.25"/>
    <row r="1917" ht="48" customHeight="1" x14ac:dyDescent="0.25"/>
    <row r="1918" ht="27.75" customHeight="1" x14ac:dyDescent="0.25"/>
    <row r="1919" ht="40.5" customHeight="1" x14ac:dyDescent="0.25"/>
    <row r="1920" ht="19.5" customHeight="1" x14ac:dyDescent="0.25"/>
    <row r="1921" ht="19.5" customHeight="1" x14ac:dyDescent="0.25"/>
    <row r="1922" ht="19.5" customHeight="1" x14ac:dyDescent="0.25"/>
    <row r="1941" ht="27.75" customHeight="1" x14ac:dyDescent="0.25"/>
    <row r="1942" ht="27.75" customHeight="1" x14ac:dyDescent="0.25"/>
    <row r="1943" ht="27.75" customHeight="1" x14ac:dyDescent="0.25"/>
    <row r="1944" ht="27.75" customHeight="1" x14ac:dyDescent="0.25"/>
    <row r="1945" ht="33" customHeight="1" x14ac:dyDescent="0.25"/>
    <row r="1946" ht="28.5" customHeight="1" x14ac:dyDescent="0.25"/>
    <row r="1947" ht="27.75" customHeight="1" x14ac:dyDescent="0.25"/>
    <row r="1948" ht="27.75" customHeight="1" x14ac:dyDescent="0.25"/>
    <row r="1949" ht="27.75" customHeight="1" x14ac:dyDescent="0.25"/>
    <row r="1950" ht="27.75" customHeight="1" x14ac:dyDescent="0.25"/>
    <row r="1951" ht="27.75" customHeight="1" x14ac:dyDescent="0.25"/>
    <row r="1952" ht="45" customHeight="1" x14ac:dyDescent="0.25"/>
    <row r="1953" ht="48" customHeight="1" x14ac:dyDescent="0.25"/>
    <row r="1954" ht="27.75" customHeight="1" x14ac:dyDescent="0.25"/>
    <row r="1955" ht="40.5" customHeight="1" x14ac:dyDescent="0.25"/>
    <row r="1956" ht="19.5" customHeight="1" x14ac:dyDescent="0.25"/>
    <row r="1957" ht="19.5" customHeight="1" x14ac:dyDescent="0.25"/>
    <row r="1958" ht="19.5" customHeight="1" x14ac:dyDescent="0.25"/>
    <row r="1977" ht="27.75" customHeight="1" x14ac:dyDescent="0.25"/>
    <row r="1978" ht="27.75" customHeight="1" x14ac:dyDescent="0.25"/>
    <row r="1979" ht="27.75" customHeight="1" x14ac:dyDescent="0.25"/>
    <row r="1980" ht="27.75" customHeight="1" x14ac:dyDescent="0.25"/>
    <row r="1981" ht="33" customHeight="1" x14ac:dyDescent="0.25"/>
    <row r="1982" ht="28.5" customHeight="1" x14ac:dyDescent="0.25"/>
    <row r="1983" ht="27.75" customHeight="1" x14ac:dyDescent="0.25"/>
    <row r="1984" ht="27.75" customHeight="1" x14ac:dyDescent="0.25"/>
    <row r="1985" ht="27.75" customHeight="1" x14ac:dyDescent="0.25"/>
    <row r="1986" ht="27.75" customHeight="1" x14ac:dyDescent="0.25"/>
    <row r="1987" ht="27.75" customHeight="1" x14ac:dyDescent="0.25"/>
    <row r="1988" ht="45" customHeight="1" x14ac:dyDescent="0.25"/>
    <row r="1989" ht="48" customHeight="1" x14ac:dyDescent="0.25"/>
    <row r="1990" ht="27.75" customHeight="1" x14ac:dyDescent="0.25"/>
    <row r="1991" ht="40.5" customHeight="1" x14ac:dyDescent="0.25"/>
    <row r="1992" ht="19.5" customHeight="1" x14ac:dyDescent="0.25"/>
    <row r="1993" ht="19.5" customHeight="1" x14ac:dyDescent="0.25"/>
    <row r="1994" ht="19.5" customHeight="1" x14ac:dyDescent="0.25"/>
    <row r="2012" ht="27.75" customHeight="1" x14ac:dyDescent="0.25"/>
    <row r="2013" ht="27.75" customHeight="1" x14ac:dyDescent="0.25"/>
    <row r="2014" ht="27.75" customHeight="1" x14ac:dyDescent="0.25"/>
    <row r="2015" ht="27.75" customHeight="1" x14ac:dyDescent="0.25"/>
    <row r="2016" ht="33" customHeight="1" x14ac:dyDescent="0.25"/>
    <row r="2017" ht="28.5" customHeight="1" x14ac:dyDescent="0.25"/>
    <row r="2018" ht="27.75" customHeight="1" x14ac:dyDescent="0.25"/>
    <row r="2019" ht="27.75" customHeight="1" x14ac:dyDescent="0.25"/>
    <row r="2020" ht="27.75" customHeight="1" x14ac:dyDescent="0.25"/>
    <row r="2021" ht="27.75" customHeight="1" x14ac:dyDescent="0.25"/>
    <row r="2022" ht="27.75" customHeight="1" x14ac:dyDescent="0.25"/>
    <row r="2023" ht="45" customHeight="1" x14ac:dyDescent="0.25"/>
    <row r="2024" ht="48" customHeight="1" x14ac:dyDescent="0.25"/>
    <row r="2025" ht="27.75" customHeight="1" x14ac:dyDescent="0.25"/>
    <row r="2026" ht="40.5" customHeight="1" x14ac:dyDescent="0.25"/>
    <row r="2027" ht="19.5" customHeight="1" x14ac:dyDescent="0.25"/>
    <row r="2028" ht="19.5" customHeight="1" x14ac:dyDescent="0.25"/>
    <row r="2029" ht="19.5" customHeight="1" x14ac:dyDescent="0.25"/>
    <row r="2048" ht="27.75" customHeight="1" x14ac:dyDescent="0.25"/>
    <row r="2049" ht="27.75" customHeight="1" x14ac:dyDescent="0.25"/>
    <row r="2050" ht="27.75" customHeight="1" x14ac:dyDescent="0.25"/>
    <row r="2051" ht="27.75" customHeight="1" x14ac:dyDescent="0.25"/>
    <row r="2052" ht="33" customHeight="1" x14ac:dyDescent="0.25"/>
    <row r="2053" ht="28.5" customHeight="1" x14ac:dyDescent="0.25"/>
    <row r="2054" ht="27.75" customHeight="1" x14ac:dyDescent="0.25"/>
    <row r="2055" ht="27.75" customHeight="1" x14ac:dyDescent="0.25"/>
    <row r="2056" ht="27.75" customHeight="1" x14ac:dyDescent="0.25"/>
    <row r="2057" ht="27.75" customHeight="1" x14ac:dyDescent="0.25"/>
    <row r="2058" ht="27.75" customHeight="1" x14ac:dyDescent="0.25"/>
    <row r="2059" ht="45" customHeight="1" x14ac:dyDescent="0.25"/>
    <row r="2060" ht="48" customHeight="1" x14ac:dyDescent="0.25"/>
    <row r="2061" ht="27.75" customHeight="1" x14ac:dyDescent="0.25"/>
    <row r="2062" ht="40.5" customHeight="1" x14ac:dyDescent="0.25"/>
    <row r="2063" ht="19.5" customHeight="1" x14ac:dyDescent="0.25"/>
    <row r="2064" ht="19.5" customHeight="1" x14ac:dyDescent="0.25"/>
    <row r="2065" ht="19.5" customHeight="1" x14ac:dyDescent="0.25"/>
    <row r="2084" ht="27.75" customHeight="1" x14ac:dyDescent="0.25"/>
    <row r="2085" ht="27.75" customHeight="1" x14ac:dyDescent="0.25"/>
    <row r="2086" ht="27.75" customHeight="1" x14ac:dyDescent="0.25"/>
    <row r="2087" ht="27.75" customHeight="1" x14ac:dyDescent="0.25"/>
    <row r="2088" ht="33" customHeight="1" x14ac:dyDescent="0.25"/>
    <row r="2089" ht="28.5" customHeight="1" x14ac:dyDescent="0.25"/>
    <row r="2090" ht="27.75" customHeight="1" x14ac:dyDescent="0.25"/>
    <row r="2091" ht="27.75" customHeight="1" x14ac:dyDescent="0.25"/>
    <row r="2092" ht="27.75" customHeight="1" x14ac:dyDescent="0.25"/>
    <row r="2093" ht="27.75" customHeight="1" x14ac:dyDescent="0.25"/>
    <row r="2094" ht="27.75" customHeight="1" x14ac:dyDescent="0.25"/>
    <row r="2095" ht="45" customHeight="1" x14ac:dyDescent="0.25"/>
    <row r="2096" ht="48" customHeight="1" x14ac:dyDescent="0.25"/>
    <row r="2097" ht="27.75" customHeight="1" x14ac:dyDescent="0.25"/>
    <row r="2098" ht="40.5" customHeight="1" x14ac:dyDescent="0.25"/>
    <row r="2099" ht="19.5" customHeight="1" x14ac:dyDescent="0.25"/>
    <row r="2100" ht="19.5" customHeight="1" x14ac:dyDescent="0.25"/>
    <row r="2101" ht="19.5" customHeight="1" x14ac:dyDescent="0.25"/>
    <row r="2120" ht="27.75" customHeight="1" x14ac:dyDescent="0.25"/>
    <row r="2121" ht="27.75" customHeight="1" x14ac:dyDescent="0.25"/>
    <row r="2122" ht="27.75" customHeight="1" x14ac:dyDescent="0.25"/>
    <row r="2123" ht="27.75" customHeight="1" x14ac:dyDescent="0.25"/>
    <row r="2124" ht="33" customHeight="1" x14ac:dyDescent="0.25"/>
    <row r="2125" ht="28.5" customHeight="1" x14ac:dyDescent="0.25"/>
    <row r="2126" ht="27.75" customHeight="1" x14ac:dyDescent="0.25"/>
    <row r="2127" ht="27.75" customHeight="1" x14ac:dyDescent="0.25"/>
    <row r="2128" ht="27.75" customHeight="1" x14ac:dyDescent="0.25"/>
    <row r="2129" ht="27.75" customHeight="1" x14ac:dyDescent="0.25"/>
    <row r="2130" ht="27.75" customHeight="1" x14ac:dyDescent="0.25"/>
    <row r="2131" ht="45" customHeight="1" x14ac:dyDescent="0.25"/>
    <row r="2132" ht="48" customHeight="1" x14ac:dyDescent="0.25"/>
    <row r="2133" ht="27.75" customHeight="1" x14ac:dyDescent="0.25"/>
    <row r="2134" ht="40.5" customHeight="1" x14ac:dyDescent="0.25"/>
    <row r="2135" ht="19.5" customHeight="1" x14ac:dyDescent="0.25"/>
    <row r="2136" ht="19.5" customHeight="1" x14ac:dyDescent="0.25"/>
    <row r="2137" ht="19.5" customHeight="1" x14ac:dyDescent="0.25"/>
    <row r="2156" ht="27.75" customHeight="1" x14ac:dyDescent="0.25"/>
    <row r="2157" ht="27.75" customHeight="1" x14ac:dyDescent="0.25"/>
    <row r="2158" ht="27.75" customHeight="1" x14ac:dyDescent="0.25"/>
    <row r="2159" ht="27.75" customHeight="1" x14ac:dyDescent="0.25"/>
    <row r="2160" ht="33" customHeight="1" x14ac:dyDescent="0.25"/>
    <row r="2161" ht="28.5" customHeight="1" x14ac:dyDescent="0.25"/>
    <row r="2162" ht="27.75" customHeight="1" x14ac:dyDescent="0.25"/>
    <row r="2163" ht="27.75" customHeight="1" x14ac:dyDescent="0.25"/>
    <row r="2164" ht="27.75" customHeight="1" x14ac:dyDescent="0.25"/>
    <row r="2165" ht="27.75" customHeight="1" x14ac:dyDescent="0.25"/>
    <row r="2166" ht="27.75" customHeight="1" x14ac:dyDescent="0.25"/>
    <row r="2167" ht="45" customHeight="1" x14ac:dyDescent="0.25"/>
    <row r="2168" ht="48" customHeight="1" x14ac:dyDescent="0.25"/>
    <row r="2169" ht="27.75" customHeight="1" x14ac:dyDescent="0.25"/>
    <row r="2170" ht="40.5" customHeight="1" x14ac:dyDescent="0.25"/>
    <row r="2171" ht="19.5" customHeight="1" x14ac:dyDescent="0.25"/>
    <row r="2172" ht="19.5" customHeight="1" x14ac:dyDescent="0.25"/>
    <row r="2173" ht="19.5" customHeight="1" x14ac:dyDescent="0.25"/>
    <row r="2192" ht="27.75" customHeight="1" x14ac:dyDescent="0.25"/>
    <row r="2193" ht="27.75" customHeight="1" x14ac:dyDescent="0.25"/>
    <row r="2194" ht="27.75" customHeight="1" x14ac:dyDescent="0.25"/>
    <row r="2195" ht="27.75" customHeight="1" x14ac:dyDescent="0.25"/>
    <row r="2196" ht="33" customHeight="1" x14ac:dyDescent="0.25"/>
    <row r="2197" ht="28.5" customHeight="1" x14ac:dyDescent="0.25"/>
    <row r="2198" ht="27.75" customHeight="1" x14ac:dyDescent="0.25"/>
    <row r="2199" ht="27.75" customHeight="1" x14ac:dyDescent="0.25"/>
    <row r="2200" ht="27.75" customHeight="1" x14ac:dyDescent="0.25"/>
    <row r="2201" ht="27.75" customHeight="1" x14ac:dyDescent="0.25"/>
    <row r="2202" ht="27.75" customHeight="1" x14ac:dyDescent="0.25"/>
    <row r="2203" ht="45" customHeight="1" x14ac:dyDescent="0.25"/>
    <row r="2204" ht="48" customHeight="1" x14ac:dyDescent="0.25"/>
    <row r="2205" ht="27.75" customHeight="1" x14ac:dyDescent="0.25"/>
    <row r="2206" ht="40.5" customHeight="1" x14ac:dyDescent="0.25"/>
    <row r="2207" ht="19.5" customHeight="1" x14ac:dyDescent="0.25"/>
    <row r="2208" ht="19.5" customHeight="1" x14ac:dyDescent="0.25"/>
    <row r="2209" ht="19.5" customHeight="1" x14ac:dyDescent="0.25"/>
    <row r="2228" ht="27.75" customHeight="1" x14ac:dyDescent="0.25"/>
    <row r="2229" ht="27.75" customHeight="1" x14ac:dyDescent="0.25"/>
    <row r="2230" ht="27.75" customHeight="1" x14ac:dyDescent="0.25"/>
    <row r="2231" ht="27.75" customHeight="1" x14ac:dyDescent="0.25"/>
    <row r="2232" ht="33" customHeight="1" x14ac:dyDescent="0.25"/>
    <row r="2233" ht="28.5" customHeight="1" x14ac:dyDescent="0.25"/>
    <row r="2234" ht="27.75" customHeight="1" x14ac:dyDescent="0.25"/>
    <row r="2235" ht="27.75" customHeight="1" x14ac:dyDescent="0.25"/>
    <row r="2236" ht="27.75" customHeight="1" x14ac:dyDescent="0.25"/>
    <row r="2237" ht="27.75" customHeight="1" x14ac:dyDescent="0.25"/>
    <row r="2238" ht="27.75" customHeight="1" x14ac:dyDescent="0.25"/>
    <row r="2239" ht="45" customHeight="1" x14ac:dyDescent="0.25"/>
    <row r="2240" ht="48" customHeight="1" x14ac:dyDescent="0.25"/>
    <row r="2241" ht="27.75" customHeight="1" x14ac:dyDescent="0.25"/>
    <row r="2242" ht="40.5" customHeight="1" x14ac:dyDescent="0.25"/>
    <row r="2243" ht="19.5" customHeight="1" x14ac:dyDescent="0.25"/>
    <row r="2244" ht="19.5" customHeight="1" x14ac:dyDescent="0.25"/>
    <row r="2245" ht="19.5" customHeight="1" x14ac:dyDescent="0.25"/>
    <row r="2264" ht="27.75" customHeight="1" x14ac:dyDescent="0.25"/>
    <row r="2265" ht="27.75" customHeight="1" x14ac:dyDescent="0.25"/>
    <row r="2266" ht="27.75" customHeight="1" x14ac:dyDescent="0.25"/>
    <row r="2267" ht="27.75" customHeight="1" x14ac:dyDescent="0.25"/>
    <row r="2268" ht="33" customHeight="1" x14ac:dyDescent="0.25"/>
    <row r="2269" ht="28.5" customHeight="1" x14ac:dyDescent="0.25"/>
    <row r="2270" ht="27.75" customHeight="1" x14ac:dyDescent="0.25"/>
    <row r="2271" ht="27.75" customHeight="1" x14ac:dyDescent="0.25"/>
    <row r="2272" ht="27.75" customHeight="1" x14ac:dyDescent="0.25"/>
    <row r="2273" ht="27.75" customHeight="1" x14ac:dyDescent="0.25"/>
    <row r="2274" ht="27.75" customHeight="1" x14ac:dyDescent="0.25"/>
    <row r="2275" ht="45" customHeight="1" x14ac:dyDescent="0.25"/>
    <row r="2276" ht="48" customHeight="1" x14ac:dyDescent="0.25"/>
    <row r="2277" ht="27.75" customHeight="1" x14ac:dyDescent="0.25"/>
    <row r="2278" ht="40.5" customHeight="1" x14ac:dyDescent="0.25"/>
    <row r="2279" ht="19.5" customHeight="1" x14ac:dyDescent="0.25"/>
    <row r="2280" ht="19.5" customHeight="1" x14ac:dyDescent="0.25"/>
    <row r="2281" ht="19.5" customHeight="1" x14ac:dyDescent="0.25"/>
    <row r="2300" ht="27.75" customHeight="1" x14ac:dyDescent="0.25"/>
    <row r="2301" ht="27.75" customHeight="1" x14ac:dyDescent="0.25"/>
    <row r="2302" ht="27.75" customHeight="1" x14ac:dyDescent="0.25"/>
    <row r="2303" ht="27.75" customHeight="1" x14ac:dyDescent="0.25"/>
    <row r="2304" ht="33" customHeight="1" x14ac:dyDescent="0.25"/>
    <row r="2305" ht="28.5" customHeight="1" x14ac:dyDescent="0.25"/>
    <row r="2306" ht="27.75" customHeight="1" x14ac:dyDescent="0.25"/>
    <row r="2307" ht="27.75" customHeight="1" x14ac:dyDescent="0.25"/>
    <row r="2308" ht="27.75" customHeight="1" x14ac:dyDescent="0.25"/>
    <row r="2309" ht="27.75" customHeight="1" x14ac:dyDescent="0.25"/>
    <row r="2310" ht="27.75" customHeight="1" x14ac:dyDescent="0.25"/>
    <row r="2311" ht="45" customHeight="1" x14ac:dyDescent="0.25"/>
    <row r="2312" ht="48" customHeight="1" x14ac:dyDescent="0.25"/>
    <row r="2313" ht="27.75" customHeight="1" x14ac:dyDescent="0.25"/>
    <row r="2314" ht="40.5" customHeight="1" x14ac:dyDescent="0.25"/>
    <row r="2315" ht="19.5" customHeight="1" x14ac:dyDescent="0.25"/>
    <row r="2316" ht="19.5" customHeight="1" x14ac:dyDescent="0.25"/>
    <row r="2317" ht="19.5" customHeight="1" x14ac:dyDescent="0.25"/>
    <row r="2336" ht="27.75" customHeight="1" x14ac:dyDescent="0.25"/>
    <row r="2337" ht="27.75" customHeight="1" x14ac:dyDescent="0.25"/>
    <row r="2338" ht="27.75" customHeight="1" x14ac:dyDescent="0.25"/>
    <row r="2339" ht="27.75" customHeight="1" x14ac:dyDescent="0.25"/>
    <row r="2340" ht="33" customHeight="1" x14ac:dyDescent="0.25"/>
    <row r="2341" ht="28.5" customHeight="1" x14ac:dyDescent="0.25"/>
    <row r="2342" ht="27.75" customHeight="1" x14ac:dyDescent="0.25"/>
    <row r="2343" ht="27.75" customHeight="1" x14ac:dyDescent="0.25"/>
    <row r="2344" ht="27.75" customHeight="1" x14ac:dyDescent="0.25"/>
    <row r="2345" ht="27.75" customHeight="1" x14ac:dyDescent="0.25"/>
    <row r="2346" ht="27.75" customHeight="1" x14ac:dyDescent="0.25"/>
    <row r="2347" ht="45" customHeight="1" x14ac:dyDescent="0.25"/>
    <row r="2348" ht="48" customHeight="1" x14ac:dyDescent="0.25"/>
    <row r="2349" ht="27.75" customHeight="1" x14ac:dyDescent="0.25"/>
    <row r="2350" ht="40.5" customHeight="1" x14ac:dyDescent="0.25"/>
    <row r="2351" ht="19.5" customHeight="1" x14ac:dyDescent="0.25"/>
    <row r="2352" ht="19.5" customHeight="1" x14ac:dyDescent="0.25"/>
    <row r="2353" ht="19.5" customHeight="1" x14ac:dyDescent="0.25"/>
    <row r="2372" ht="27.75" customHeight="1" x14ac:dyDescent="0.25"/>
    <row r="2373" ht="27.75" customHeight="1" x14ac:dyDescent="0.25"/>
    <row r="2374" ht="27.75" customHeight="1" x14ac:dyDescent="0.25"/>
    <row r="2375" ht="27.75" customHeight="1" x14ac:dyDescent="0.25"/>
    <row r="2376" ht="33" customHeight="1" x14ac:dyDescent="0.25"/>
    <row r="2377" ht="28.5" customHeight="1" x14ac:dyDescent="0.25"/>
    <row r="2378" ht="27.75" customHeight="1" x14ac:dyDescent="0.25"/>
    <row r="2379" ht="27.75" customHeight="1" x14ac:dyDescent="0.25"/>
    <row r="2380" ht="27.75" customHeight="1" x14ac:dyDescent="0.25"/>
    <row r="2381" ht="27.75" customHeight="1" x14ac:dyDescent="0.25"/>
    <row r="2382" ht="27.75" customHeight="1" x14ac:dyDescent="0.25"/>
    <row r="2383" ht="45" customHeight="1" x14ac:dyDescent="0.25"/>
    <row r="2384" ht="48" customHeight="1" x14ac:dyDescent="0.25"/>
    <row r="2385" ht="27.75" customHeight="1" x14ac:dyDescent="0.25"/>
    <row r="2386" ht="40.5" customHeight="1" x14ac:dyDescent="0.25"/>
    <row r="2387" ht="19.5" customHeight="1" x14ac:dyDescent="0.25"/>
    <row r="2388" ht="19.5" customHeight="1" x14ac:dyDescent="0.25"/>
    <row r="2389" ht="19.5" customHeight="1" x14ac:dyDescent="0.25"/>
    <row r="2408" ht="27.75" customHeight="1" x14ac:dyDescent="0.25"/>
    <row r="2409" ht="27.75" customHeight="1" x14ac:dyDescent="0.25"/>
    <row r="2410" ht="27.75" customHeight="1" x14ac:dyDescent="0.25"/>
    <row r="2411" ht="27.75" customHeight="1" x14ac:dyDescent="0.25"/>
    <row r="2412" ht="33" customHeight="1" x14ac:dyDescent="0.25"/>
    <row r="2413" ht="28.5" customHeight="1" x14ac:dyDescent="0.25"/>
    <row r="2414" ht="27.75" customHeight="1" x14ac:dyDescent="0.25"/>
    <row r="2415" ht="27.75" customHeight="1" x14ac:dyDescent="0.25"/>
    <row r="2416" ht="27.75" customHeight="1" x14ac:dyDescent="0.25"/>
    <row r="2417" ht="27.75" customHeight="1" x14ac:dyDescent="0.25"/>
    <row r="2418" ht="27.75" customHeight="1" x14ac:dyDescent="0.25"/>
    <row r="2419" ht="45" customHeight="1" x14ac:dyDescent="0.25"/>
    <row r="2420" ht="48" customHeight="1" x14ac:dyDescent="0.25"/>
    <row r="2421" ht="27.75" customHeight="1" x14ac:dyDescent="0.25"/>
    <row r="2422" ht="40.5" customHeight="1" x14ac:dyDescent="0.25"/>
    <row r="2423" ht="19.5" customHeight="1" x14ac:dyDescent="0.25"/>
    <row r="2424" ht="19.5" customHeight="1" x14ac:dyDescent="0.25"/>
    <row r="2425" ht="19.5" customHeight="1" x14ac:dyDescent="0.25"/>
    <row r="2444" ht="27.75" customHeight="1" x14ac:dyDescent="0.25"/>
    <row r="2445" ht="27.75" customHeight="1" x14ac:dyDescent="0.25"/>
    <row r="2446" ht="27.75" customHeight="1" x14ac:dyDescent="0.25"/>
    <row r="2447" ht="27.75" customHeight="1" x14ac:dyDescent="0.25"/>
    <row r="2448" ht="33" customHeight="1" x14ac:dyDescent="0.25"/>
    <row r="2449" ht="28.5" customHeight="1" x14ac:dyDescent="0.25"/>
    <row r="2450" ht="27.75" customHeight="1" x14ac:dyDescent="0.25"/>
    <row r="2451" ht="27.75" customHeight="1" x14ac:dyDescent="0.25"/>
    <row r="2452" ht="27.75" customHeight="1" x14ac:dyDescent="0.25"/>
    <row r="2453" ht="27.75" customHeight="1" x14ac:dyDescent="0.25"/>
    <row r="2454" ht="27.75" customHeight="1" x14ac:dyDescent="0.25"/>
    <row r="2455" ht="45" customHeight="1" x14ac:dyDescent="0.25"/>
    <row r="2456" ht="48" customHeight="1" x14ac:dyDescent="0.25"/>
    <row r="2457" ht="27.75" customHeight="1" x14ac:dyDescent="0.25"/>
    <row r="2458" ht="40.5" customHeight="1" x14ac:dyDescent="0.25"/>
    <row r="2459" ht="19.5" customHeight="1" x14ac:dyDescent="0.25"/>
    <row r="2460" ht="19.5" customHeight="1" x14ac:dyDescent="0.25"/>
    <row r="2461" ht="19.5" customHeight="1" x14ac:dyDescent="0.25"/>
    <row r="2480" ht="27.75" customHeight="1" x14ac:dyDescent="0.25"/>
    <row r="2481" ht="27.75" customHeight="1" x14ac:dyDescent="0.25"/>
    <row r="2482" ht="27.75" customHeight="1" x14ac:dyDescent="0.25"/>
    <row r="2483" ht="27.75" customHeight="1" x14ac:dyDescent="0.25"/>
    <row r="2484" ht="33" customHeight="1" x14ac:dyDescent="0.25"/>
    <row r="2485" ht="28.5" customHeight="1" x14ac:dyDescent="0.25"/>
    <row r="2486" ht="27.75" customHeight="1" x14ac:dyDescent="0.25"/>
    <row r="2487" ht="27.75" customHeight="1" x14ac:dyDescent="0.25"/>
    <row r="2488" ht="27.75" customHeight="1" x14ac:dyDescent="0.25"/>
    <row r="2489" ht="27.75" customHeight="1" x14ac:dyDescent="0.25"/>
    <row r="2490" ht="27.75" customHeight="1" x14ac:dyDescent="0.25"/>
    <row r="2491" ht="45" customHeight="1" x14ac:dyDescent="0.25"/>
    <row r="2492" ht="48" customHeight="1" x14ac:dyDescent="0.25"/>
    <row r="2493" ht="27.75" customHeight="1" x14ac:dyDescent="0.25"/>
    <row r="2494" ht="40.5" customHeight="1" x14ac:dyDescent="0.25"/>
    <row r="2495" ht="19.5" customHeight="1" x14ac:dyDescent="0.25"/>
    <row r="2496" ht="19.5" customHeight="1" x14ac:dyDescent="0.25"/>
    <row r="2497" ht="19.5" customHeight="1" x14ac:dyDescent="0.25"/>
    <row r="2516" ht="27.75" customHeight="1" x14ac:dyDescent="0.25"/>
    <row r="2517" ht="27.75" customHeight="1" x14ac:dyDescent="0.25"/>
    <row r="2518" ht="27.75" customHeight="1" x14ac:dyDescent="0.25"/>
    <row r="2519" ht="27.75" customHeight="1" x14ac:dyDescent="0.25"/>
    <row r="2520" ht="33" customHeight="1" x14ac:dyDescent="0.25"/>
    <row r="2521" ht="28.5" customHeight="1" x14ac:dyDescent="0.25"/>
    <row r="2522" ht="27.75" customHeight="1" x14ac:dyDescent="0.25"/>
    <row r="2523" ht="27.75" customHeight="1" x14ac:dyDescent="0.25"/>
    <row r="2524" ht="27.75" customHeight="1" x14ac:dyDescent="0.25"/>
    <row r="2525" ht="27.75" customHeight="1" x14ac:dyDescent="0.25"/>
    <row r="2526" ht="27.75" customHeight="1" x14ac:dyDescent="0.25"/>
    <row r="2527" ht="45" customHeight="1" x14ac:dyDescent="0.25"/>
    <row r="2528" ht="48" customHeight="1" x14ac:dyDescent="0.25"/>
    <row r="2529" ht="27.75" customHeight="1" x14ac:dyDescent="0.25"/>
    <row r="2530" ht="40.5" customHeight="1" x14ac:dyDescent="0.25"/>
    <row r="2531" ht="19.5" customHeight="1" x14ac:dyDescent="0.25"/>
    <row r="2532" ht="19.5" customHeight="1" x14ac:dyDescent="0.25"/>
    <row r="2533" ht="19.5" customHeight="1" x14ac:dyDescent="0.25"/>
    <row r="2552" ht="27.75" customHeight="1" x14ac:dyDescent="0.25"/>
    <row r="2553" ht="27.75" customHeight="1" x14ac:dyDescent="0.25"/>
    <row r="2554" ht="27.75" customHeight="1" x14ac:dyDescent="0.25"/>
    <row r="2555" ht="27.75" customHeight="1" x14ac:dyDescent="0.25"/>
    <row r="2556" ht="33" customHeight="1" x14ac:dyDescent="0.25"/>
    <row r="2557" ht="28.5" customHeight="1" x14ac:dyDescent="0.25"/>
    <row r="2558" ht="27.75" customHeight="1" x14ac:dyDescent="0.25"/>
    <row r="2559" ht="27.75" customHeight="1" x14ac:dyDescent="0.25"/>
    <row r="2560" ht="27.75" customHeight="1" x14ac:dyDescent="0.25"/>
    <row r="2561" ht="27.75" customHeight="1" x14ac:dyDescent="0.25"/>
    <row r="2562" ht="27.75" customHeight="1" x14ac:dyDescent="0.25"/>
    <row r="2563" ht="45" customHeight="1" x14ac:dyDescent="0.25"/>
    <row r="2564" ht="48" customHeight="1" x14ac:dyDescent="0.25"/>
    <row r="2565" ht="27.75" customHeight="1" x14ac:dyDescent="0.25"/>
    <row r="2566" ht="40.5" customHeight="1" x14ac:dyDescent="0.25"/>
    <row r="2567" ht="19.5" customHeight="1" x14ac:dyDescent="0.25"/>
    <row r="2568" ht="19.5" customHeight="1" x14ac:dyDescent="0.25"/>
    <row r="2569" ht="19.5" customHeight="1" x14ac:dyDescent="0.25"/>
    <row r="2588" ht="27.75" customHeight="1" x14ac:dyDescent="0.25"/>
    <row r="2589" ht="27.75" customHeight="1" x14ac:dyDescent="0.25"/>
    <row r="2590" ht="27.75" customHeight="1" x14ac:dyDescent="0.25"/>
    <row r="2591" ht="27.75" customHeight="1" x14ac:dyDescent="0.25"/>
    <row r="2592" ht="33" customHeight="1" x14ac:dyDescent="0.25"/>
    <row r="2593" ht="28.5" customHeight="1" x14ac:dyDescent="0.25"/>
    <row r="2594" ht="27.75" customHeight="1" x14ac:dyDescent="0.25"/>
    <row r="2595" ht="27.75" customHeight="1" x14ac:dyDescent="0.25"/>
    <row r="2596" ht="27.75" customHeight="1" x14ac:dyDescent="0.25"/>
    <row r="2597" ht="27.75" customHeight="1" x14ac:dyDescent="0.25"/>
    <row r="2598" ht="27.75" customHeight="1" x14ac:dyDescent="0.25"/>
    <row r="2599" ht="45" customHeight="1" x14ac:dyDescent="0.25"/>
    <row r="2600" ht="48" customHeight="1" x14ac:dyDescent="0.25"/>
    <row r="2601" ht="27.75" customHeight="1" x14ac:dyDescent="0.25"/>
    <row r="2602" ht="40.5" customHeight="1" x14ac:dyDescent="0.25"/>
    <row r="2603" ht="19.5" customHeight="1" x14ac:dyDescent="0.25"/>
    <row r="2604" ht="19.5" customHeight="1" x14ac:dyDescent="0.25"/>
    <row r="2605" ht="19.5" customHeight="1" x14ac:dyDescent="0.25"/>
    <row r="2624" ht="27.75" customHeight="1" x14ac:dyDescent="0.25"/>
    <row r="2625" ht="27.75" customHeight="1" x14ac:dyDescent="0.25"/>
    <row r="2626" ht="27.75" customHeight="1" x14ac:dyDescent="0.25"/>
    <row r="2627" ht="27.75" customHeight="1" x14ac:dyDescent="0.25"/>
    <row r="2628" ht="33" customHeight="1" x14ac:dyDescent="0.25"/>
    <row r="2629" ht="28.5" customHeight="1" x14ac:dyDescent="0.25"/>
    <row r="2630" ht="27.75" customHeight="1" x14ac:dyDescent="0.25"/>
    <row r="2631" ht="27.75" customHeight="1" x14ac:dyDescent="0.25"/>
    <row r="2632" ht="27.75" customHeight="1" x14ac:dyDescent="0.25"/>
    <row r="2633" ht="27.75" customHeight="1" x14ac:dyDescent="0.25"/>
    <row r="2634" ht="27.75" customHeight="1" x14ac:dyDescent="0.25"/>
    <row r="2635" ht="45" customHeight="1" x14ac:dyDescent="0.25"/>
    <row r="2636" ht="48" customHeight="1" x14ac:dyDescent="0.25"/>
    <row r="2637" ht="27.75" customHeight="1" x14ac:dyDescent="0.25"/>
    <row r="2638" ht="40.5" customHeight="1" x14ac:dyDescent="0.25"/>
    <row r="2639" ht="19.5" customHeight="1" x14ac:dyDescent="0.25"/>
    <row r="2640" ht="19.5" customHeight="1" x14ac:dyDescent="0.25"/>
    <row r="2641" ht="19.5" customHeight="1" x14ac:dyDescent="0.25"/>
    <row r="2660" ht="27.75" customHeight="1" x14ac:dyDescent="0.25"/>
    <row r="2661" ht="27.75" customHeight="1" x14ac:dyDescent="0.25"/>
    <row r="2662" ht="27.75" customHeight="1" x14ac:dyDescent="0.25"/>
    <row r="2663" ht="27.75" customHeight="1" x14ac:dyDescent="0.25"/>
    <row r="2664" ht="33" customHeight="1" x14ac:dyDescent="0.25"/>
    <row r="2665" ht="28.5" customHeight="1" x14ac:dyDescent="0.25"/>
    <row r="2666" ht="27.75" customHeight="1" x14ac:dyDescent="0.25"/>
    <row r="2667" ht="27.75" customHeight="1" x14ac:dyDescent="0.25"/>
    <row r="2668" ht="27.75" customHeight="1" x14ac:dyDescent="0.25"/>
    <row r="2669" ht="27.75" customHeight="1" x14ac:dyDescent="0.25"/>
    <row r="2670" ht="27.75" customHeight="1" x14ac:dyDescent="0.25"/>
    <row r="2671" ht="45" customHeight="1" x14ac:dyDescent="0.25"/>
    <row r="2672" ht="48" customHeight="1" x14ac:dyDescent="0.25"/>
    <row r="2673" ht="27.75" customHeight="1" x14ac:dyDescent="0.25"/>
    <row r="2674" ht="40.5" customHeight="1" x14ac:dyDescent="0.25"/>
    <row r="2675" ht="19.5" customHeight="1" x14ac:dyDescent="0.25"/>
    <row r="2676" ht="19.5" customHeight="1" x14ac:dyDescent="0.25"/>
    <row r="2677" ht="19.5" customHeight="1" x14ac:dyDescent="0.25"/>
    <row r="2708" ht="27.75" customHeight="1" x14ac:dyDescent="0.25"/>
    <row r="2709" ht="27.75" customHeight="1" x14ac:dyDescent="0.25"/>
    <row r="2710" ht="27.75" customHeight="1" x14ac:dyDescent="0.25"/>
    <row r="2711" ht="27.75" customHeight="1" x14ac:dyDescent="0.25"/>
    <row r="2712" ht="33" customHeight="1" x14ac:dyDescent="0.25"/>
    <row r="2713" ht="28.5" customHeight="1" x14ac:dyDescent="0.25"/>
    <row r="2714" ht="27.75" customHeight="1" x14ac:dyDescent="0.25"/>
    <row r="2715" ht="27.75" customHeight="1" x14ac:dyDescent="0.25"/>
    <row r="2716" ht="27.75" customHeight="1" x14ac:dyDescent="0.25"/>
    <row r="2717" ht="27.75" customHeight="1" x14ac:dyDescent="0.25"/>
    <row r="2718" ht="27.75" customHeight="1" x14ac:dyDescent="0.25"/>
    <row r="2719" ht="45" customHeight="1" x14ac:dyDescent="0.25"/>
    <row r="2720" ht="48" customHeight="1" x14ac:dyDescent="0.25"/>
    <row r="2721" ht="27.75" customHeight="1" x14ac:dyDescent="0.25"/>
    <row r="2722" ht="40.5" customHeight="1" x14ac:dyDescent="0.25"/>
    <row r="2723" ht="19.5" customHeight="1" x14ac:dyDescent="0.25"/>
    <row r="2724" ht="19.5" customHeight="1" x14ac:dyDescent="0.25"/>
    <row r="2725" ht="19.5" customHeight="1" x14ac:dyDescent="0.25"/>
    <row r="2744" ht="27.75" customHeight="1" x14ac:dyDescent="0.25"/>
    <row r="2745" ht="27.75" customHeight="1" x14ac:dyDescent="0.25"/>
    <row r="2746" ht="27.75" customHeight="1" x14ac:dyDescent="0.25"/>
    <row r="2747" ht="27.75" customHeight="1" x14ac:dyDescent="0.25"/>
    <row r="2748" ht="33" customHeight="1" x14ac:dyDescent="0.25"/>
    <row r="2749" ht="28.5" customHeight="1" x14ac:dyDescent="0.25"/>
    <row r="2750" ht="27.75" customHeight="1" x14ac:dyDescent="0.25"/>
    <row r="2751" ht="27.75" customHeight="1" x14ac:dyDescent="0.25"/>
    <row r="2752" ht="27.75" customHeight="1" x14ac:dyDescent="0.25"/>
    <row r="2753" ht="27.75" customHeight="1" x14ac:dyDescent="0.25"/>
    <row r="2754" ht="27.75" customHeight="1" x14ac:dyDescent="0.25"/>
    <row r="2755" ht="45" customHeight="1" x14ac:dyDescent="0.25"/>
    <row r="2756" ht="48" customHeight="1" x14ac:dyDescent="0.25"/>
    <row r="2757" ht="27.75" customHeight="1" x14ac:dyDescent="0.25"/>
    <row r="2758" ht="40.5" customHeight="1" x14ac:dyDescent="0.25"/>
    <row r="2759" ht="19.5" customHeight="1" x14ac:dyDescent="0.25"/>
    <row r="2760" ht="19.5" customHeight="1" x14ac:dyDescent="0.25"/>
    <row r="2761" ht="19.5" customHeight="1" x14ac:dyDescent="0.25"/>
    <row r="2820" ht="39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.75" customHeight="1" x14ac:dyDescent="0.25"/>
    <row r="3387" ht="27.75" customHeight="1" x14ac:dyDescent="0.25"/>
    <row r="3388" ht="27.75" customHeight="1" x14ac:dyDescent="0.25"/>
    <row r="3389" ht="27.75" customHeight="1" x14ac:dyDescent="0.25"/>
    <row r="3390" ht="27.75" customHeight="1" x14ac:dyDescent="0.25"/>
    <row r="3391" ht="27.75" customHeight="1" x14ac:dyDescent="0.25"/>
    <row r="3392" ht="27.75" customHeight="1" x14ac:dyDescent="0.25"/>
    <row r="3393" ht="27.75" customHeight="1" x14ac:dyDescent="0.25"/>
    <row r="3394" ht="27.75" customHeight="1" x14ac:dyDescent="0.25"/>
    <row r="3395" ht="27.75" customHeight="1" x14ac:dyDescent="0.25"/>
    <row r="3396" ht="27.75" customHeight="1" x14ac:dyDescent="0.25"/>
    <row r="3397" ht="27.75" customHeight="1" x14ac:dyDescent="0.25"/>
    <row r="3398" ht="27.75" customHeight="1" x14ac:dyDescent="0.25"/>
    <row r="3399" ht="48" customHeight="1" x14ac:dyDescent="0.25"/>
    <row r="3400" ht="27.75" customHeight="1" x14ac:dyDescent="0.25"/>
    <row r="3406" ht="16.5" customHeight="1" x14ac:dyDescent="0.25"/>
    <row r="3410" ht="16.5" customHeight="1" x14ac:dyDescent="0.25"/>
    <row r="3437" ht="30" customHeight="1" x14ac:dyDescent="0.25"/>
    <row r="3442" ht="27.75" customHeight="1" x14ac:dyDescent="0.25"/>
    <row r="3443" ht="27.75" customHeight="1" x14ac:dyDescent="0.25"/>
    <row r="3444" ht="27.75" customHeight="1" x14ac:dyDescent="0.25"/>
    <row r="3445" ht="27.75" customHeight="1" x14ac:dyDescent="0.25"/>
    <row r="3446" ht="27.75" customHeight="1" x14ac:dyDescent="0.25"/>
    <row r="3447" ht="27.75" customHeight="1" x14ac:dyDescent="0.25"/>
    <row r="3448" ht="27.75" customHeight="1" x14ac:dyDescent="0.25"/>
    <row r="3449" ht="27.75" customHeight="1" x14ac:dyDescent="0.25"/>
    <row r="3450" ht="27.75" customHeight="1" x14ac:dyDescent="0.25"/>
    <row r="3451" ht="27.75" customHeight="1" x14ac:dyDescent="0.25"/>
    <row r="3452" ht="27.75" customHeight="1" x14ac:dyDescent="0.25"/>
    <row r="3453" ht="27.75" customHeight="1" x14ac:dyDescent="0.25"/>
    <row r="3454" ht="41.25" customHeight="1" x14ac:dyDescent="0.25"/>
    <row r="3455" ht="27.75" customHeight="1" x14ac:dyDescent="0.25"/>
    <row r="3456" ht="25.5" customHeight="1" x14ac:dyDescent="0.25"/>
  </sheetData>
  <mergeCells count="45">
    <mergeCell ref="B31:C31"/>
    <mergeCell ref="D31:G31"/>
    <mergeCell ref="B34:C39"/>
    <mergeCell ref="D34:E34"/>
    <mergeCell ref="F34:R34"/>
    <mergeCell ref="D35:E35"/>
    <mergeCell ref="F35:R35"/>
    <mergeCell ref="B2:R2"/>
    <mergeCell ref="C6:H6"/>
    <mergeCell ref="I6:R6"/>
    <mergeCell ref="B30:C30"/>
    <mergeCell ref="D30:G30"/>
    <mergeCell ref="D36:E36"/>
    <mergeCell ref="F36:R36"/>
    <mergeCell ref="D37:E37"/>
    <mergeCell ref="F37:R37"/>
    <mergeCell ref="D38:E38"/>
    <mergeCell ref="F38:R38"/>
    <mergeCell ref="D39:E39"/>
    <mergeCell ref="F39:R39"/>
    <mergeCell ref="B40:C51"/>
    <mergeCell ref="D40:E40"/>
    <mergeCell ref="F40:R40"/>
    <mergeCell ref="D41:E41"/>
    <mergeCell ref="F41:R41"/>
    <mergeCell ref="D42:E42"/>
    <mergeCell ref="F42:R42"/>
    <mergeCell ref="D43:E43"/>
    <mergeCell ref="F43:R43"/>
    <mergeCell ref="D44:E44"/>
    <mergeCell ref="F44:R44"/>
    <mergeCell ref="D45:E45"/>
    <mergeCell ref="F45:R45"/>
    <mergeCell ref="D46:E46"/>
    <mergeCell ref="F46:R46"/>
    <mergeCell ref="D47:E47"/>
    <mergeCell ref="F47:R47"/>
    <mergeCell ref="D48:E48"/>
    <mergeCell ref="F48:R48"/>
    <mergeCell ref="D49:E49"/>
    <mergeCell ref="F49:R49"/>
    <mergeCell ref="D50:E50"/>
    <mergeCell ref="F50:R50"/>
    <mergeCell ref="D51:E51"/>
    <mergeCell ref="F51:R51"/>
  </mergeCells>
  <pageMargins left="0.511811024" right="0.511811024" top="0.78740157499999996" bottom="0.78740157499999996" header="0.31496062000000002" footer="0.31496062000000002"/>
  <pageSetup paperSize="9" scale="32" orientation="landscape" r:id="rId1"/>
  <colBreaks count="1" manualBreakCount="1">
    <brk id="1226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60</vt:i4>
      </vt:variant>
    </vt:vector>
  </HeadingPairs>
  <TitlesOfParts>
    <vt:vector size="66" baseType="lpstr">
      <vt:lpstr>Main</vt:lpstr>
      <vt:lpstr>Template</vt:lpstr>
      <vt:lpstr>data</vt:lpstr>
      <vt:lpstr>Report</vt:lpstr>
      <vt:lpstr>Rank</vt:lpstr>
      <vt:lpstr>Report (Final)</vt:lpstr>
      <vt:lpstr>Main!Area_de_impressao</vt:lpstr>
      <vt:lpstr>data!D_\home\ricardo\Tripda\Modelo_DW\tripda_data_warehouse\report_queries\reports\report_generator.csv</vt:lpstr>
      <vt:lpstr>data!report_generator</vt:lpstr>
      <vt:lpstr>data!report_generator_1</vt:lpstr>
      <vt:lpstr>data!report_generator_10</vt:lpstr>
      <vt:lpstr>data!report_generator_11</vt:lpstr>
      <vt:lpstr>data!report_generator_12</vt:lpstr>
      <vt:lpstr>data!report_generator_13</vt:lpstr>
      <vt:lpstr>data!report_generator_14</vt:lpstr>
      <vt:lpstr>data!report_generator_15</vt:lpstr>
      <vt:lpstr>data!report_generator_16</vt:lpstr>
      <vt:lpstr>data!report_generator_17</vt:lpstr>
      <vt:lpstr>data!report_generator_18</vt:lpstr>
      <vt:lpstr>data!report_generator_19</vt:lpstr>
      <vt:lpstr>data!report_generator_2</vt:lpstr>
      <vt:lpstr>data!report_generator_20</vt:lpstr>
      <vt:lpstr>data!report_generator_21</vt:lpstr>
      <vt:lpstr>data!report_generator_22</vt:lpstr>
      <vt:lpstr>data!report_generator_23</vt:lpstr>
      <vt:lpstr>data!report_generator_24</vt:lpstr>
      <vt:lpstr>data!report_generator_25</vt:lpstr>
      <vt:lpstr>data!report_generator_26</vt:lpstr>
      <vt:lpstr>data!report_generator_27</vt:lpstr>
      <vt:lpstr>data!report_generator_28</vt:lpstr>
      <vt:lpstr>data!report_generator_29</vt:lpstr>
      <vt:lpstr>data!report_generator_3</vt:lpstr>
      <vt:lpstr>data!report_generator_30</vt:lpstr>
      <vt:lpstr>data!report_generator_31</vt:lpstr>
      <vt:lpstr>data!report_generator_32</vt:lpstr>
      <vt:lpstr>data!report_generator_33</vt:lpstr>
      <vt:lpstr>data!report_generator_34</vt:lpstr>
      <vt:lpstr>data!report_generator_35</vt:lpstr>
      <vt:lpstr>data!report_generator_36</vt:lpstr>
      <vt:lpstr>data!report_generator_37</vt:lpstr>
      <vt:lpstr>data!report_generator_38</vt:lpstr>
      <vt:lpstr>data!report_generator_39</vt:lpstr>
      <vt:lpstr>data!report_generator_4</vt:lpstr>
      <vt:lpstr>data!report_generator_40</vt:lpstr>
      <vt:lpstr>data!report_generator_41</vt:lpstr>
      <vt:lpstr>data!report_generator_42</vt:lpstr>
      <vt:lpstr>data!report_generator_43</vt:lpstr>
      <vt:lpstr>data!report_generator_44</vt:lpstr>
      <vt:lpstr>data!report_generator_45</vt:lpstr>
      <vt:lpstr>data!report_generator_46</vt:lpstr>
      <vt:lpstr>data!report_generator_47</vt:lpstr>
      <vt:lpstr>data!report_generator_48</vt:lpstr>
      <vt:lpstr>data!report_generator_49</vt:lpstr>
      <vt:lpstr>data!report_generator_5</vt:lpstr>
      <vt:lpstr>data!report_generator_50</vt:lpstr>
      <vt:lpstr>data!report_generator_51</vt:lpstr>
      <vt:lpstr>data!report_generator_52</vt:lpstr>
      <vt:lpstr>data!report_generator_53</vt:lpstr>
      <vt:lpstr>data!report_generator_54</vt:lpstr>
      <vt:lpstr>data!report_generator_55</vt:lpstr>
      <vt:lpstr>data!report_generator_56</vt:lpstr>
      <vt:lpstr>data!report_generator_57</vt:lpstr>
      <vt:lpstr>data!report_generator_6</vt:lpstr>
      <vt:lpstr>data!report_generator_7</vt:lpstr>
      <vt:lpstr>data!report_generator_8</vt:lpstr>
      <vt:lpstr>data!report_generator_9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Nakano</dc:creator>
  <cp:lastModifiedBy>Ricardo</cp:lastModifiedBy>
  <cp:lastPrinted>2016-01-27T01:20:56Z</cp:lastPrinted>
  <dcterms:created xsi:type="dcterms:W3CDTF">2015-01-16T18:43:41Z</dcterms:created>
  <dcterms:modified xsi:type="dcterms:W3CDTF">2016-01-27T01:21:19Z</dcterms:modified>
</cp:coreProperties>
</file>