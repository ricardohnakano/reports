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1" defaultThemeVersion="124226"/>
  <bookViews>
    <workbookView xWindow="1110" yWindow="1095" windowWidth="22215" windowHeight="8325" tabRatio="698" firstSheet="2" activeTab="8"/>
  </bookViews>
  <sheets>
    <sheet name="Weekly Review" sheetId="1" r:id="rId1"/>
    <sheet name="Daily" sheetId="2" r:id="rId2"/>
    <sheet name="Accumulated Daily" sheetId="5" r:id="rId3"/>
    <sheet name="Main Brazil" sheetId="3" r:id="rId4"/>
    <sheet name="2014" sheetId="7" r:id="rId5"/>
    <sheet name="Plan1" sheetId="8" r:id="rId6"/>
    <sheet name="Teste" sheetId="9" r:id="rId7"/>
    <sheet name="Report Rodrigo" sheetId="10" r:id="rId8"/>
    <sheet name="Report Rodrigo (Final)" sheetId="12" r:id="rId9"/>
    <sheet name="Report Rodrigo (BIME)" sheetId="13" r:id="rId10"/>
    <sheet name="Plan2" sheetId="11" r:id="rId11"/>
  </sheets>
  <functionGroups builtInGroupCount="17"/>
  <definedNames>
    <definedName name="_?from_EUR" localSheetId="6">Teste!$F$46:$I$211</definedName>
    <definedName name="_xlnm._FilterDatabase" localSheetId="4" hidden="1">'2014'!$A$1:$O$373</definedName>
    <definedName name="_xlnm.Print_Area" localSheetId="1">Daily!$A$1:$P$46</definedName>
  </definedNames>
  <calcPr calcId="145621"/>
</workbook>
</file>

<file path=xl/calcChain.xml><?xml version="1.0" encoding="utf-8"?>
<calcChain xmlns="http://schemas.openxmlformats.org/spreadsheetml/2006/main">
  <c r="B9" i="13" l="1"/>
  <c r="B11" i="13"/>
  <c r="B10" i="13"/>
  <c r="C4" i="13"/>
  <c r="B11" i="12" l="1"/>
  <c r="B9" i="12"/>
  <c r="B10" i="12"/>
  <c r="P55" i="9"/>
  <c r="P54" i="9"/>
  <c r="P53" i="9"/>
  <c r="P57" i="9"/>
  <c r="P49" i="9"/>
  <c r="P50" i="9"/>
  <c r="P56" i="9"/>
  <c r="P48" i="9"/>
  <c r="P51" i="9"/>
  <c r="P47" i="9"/>
  <c r="P52" i="9"/>
  <c r="C4" i="12"/>
  <c r="T57" i="9"/>
  <c r="T56" i="9"/>
  <c r="T55" i="9"/>
  <c r="T54" i="9"/>
  <c r="T53" i="9"/>
  <c r="T52" i="9"/>
  <c r="T51" i="9"/>
  <c r="T50" i="9"/>
  <c r="T49" i="9"/>
  <c r="S49" i="9" s="1"/>
  <c r="T48" i="9"/>
  <c r="T47" i="9"/>
  <c r="R57" i="9"/>
  <c r="R56" i="9"/>
  <c r="R55" i="9"/>
  <c r="R54" i="9"/>
  <c r="R53" i="9"/>
  <c r="R52" i="9"/>
  <c r="R51" i="9"/>
  <c r="R50" i="9"/>
  <c r="R49" i="9"/>
  <c r="R48" i="9"/>
  <c r="R47" i="9"/>
  <c r="Q52" i="9" l="1"/>
  <c r="Q47" i="9"/>
  <c r="S54" i="9"/>
  <c r="S52" i="9"/>
  <c r="Q57" i="9"/>
  <c r="Q54" i="9"/>
  <c r="Q55" i="9"/>
  <c r="S53" i="9"/>
  <c r="Q51" i="9"/>
  <c r="Q50" i="9"/>
  <c r="Q53" i="9"/>
  <c r="S51" i="9"/>
  <c r="S50" i="9"/>
  <c r="S56" i="9"/>
  <c r="S48" i="9"/>
  <c r="S47" i="9"/>
  <c r="S55" i="9"/>
  <c r="S57" i="9"/>
  <c r="Q49" i="9"/>
  <c r="Q56" i="9"/>
  <c r="Q48" i="9"/>
  <c r="J11" i="12"/>
  <c r="E11" i="12"/>
  <c r="F10" i="12"/>
  <c r="E10" i="12"/>
  <c r="H9" i="12"/>
  <c r="I11" i="12"/>
  <c r="F11" i="12"/>
  <c r="D9" i="12"/>
  <c r="C9" i="12"/>
  <c r="D10" i="12"/>
  <c r="E9" i="12"/>
  <c r="I10" i="12"/>
  <c r="C10" i="12"/>
  <c r="G10" i="12"/>
  <c r="D11" i="12"/>
  <c r="H11" i="12"/>
  <c r="G9" i="12"/>
  <c r="H10" i="12"/>
  <c r="F9" i="12"/>
  <c r="J9" i="12"/>
  <c r="C11" i="12"/>
  <c r="G11" i="12"/>
  <c r="I9" i="12"/>
  <c r="J10" i="12"/>
  <c r="O52" i="9"/>
  <c r="O56" i="9"/>
  <c r="O53" i="9"/>
  <c r="O55" i="9"/>
  <c r="O51" i="9"/>
  <c r="O47" i="9"/>
  <c r="O54" i="9"/>
  <c r="O50" i="9"/>
  <c r="O57" i="9"/>
  <c r="O48" i="9"/>
  <c r="O49" i="9"/>
  <c r="B54" i="10"/>
  <c r="B55" i="10"/>
  <c r="B53" i="10"/>
  <c r="H80" i="10" l="1"/>
  <c r="E80" i="10" s="1"/>
  <c r="L80" i="10" s="1"/>
  <c r="K11" i="12"/>
  <c r="K10" i="12"/>
  <c r="K9" i="12"/>
  <c r="H87" i="10"/>
  <c r="E87" i="10" s="1"/>
  <c r="L87" i="10" s="1"/>
  <c r="H89" i="10"/>
  <c r="E89" i="10" s="1"/>
  <c r="J89" i="10" s="1"/>
  <c r="H90" i="10"/>
  <c r="E90" i="10" s="1"/>
  <c r="L90" i="10" s="1"/>
  <c r="H86" i="10"/>
  <c r="E86" i="10" s="1"/>
  <c r="J86" i="10" s="1"/>
  <c r="H88" i="10"/>
  <c r="E88" i="10" s="1"/>
  <c r="L88" i="10" s="1"/>
  <c r="H85" i="10"/>
  <c r="E85" i="10" s="1"/>
  <c r="L85" i="10" s="1"/>
  <c r="H84" i="10"/>
  <c r="E84" i="10" s="1"/>
  <c r="J84" i="10" s="1"/>
  <c r="H81" i="10"/>
  <c r="E81" i="10" s="1"/>
  <c r="L81" i="10" s="1"/>
  <c r="H82" i="10"/>
  <c r="E82" i="10" s="1"/>
  <c r="L82" i="10" s="1"/>
  <c r="H83" i="10"/>
  <c r="E83" i="10" s="1"/>
  <c r="J83" i="10" s="1"/>
  <c r="C54" i="10"/>
  <c r="D54" i="10"/>
  <c r="E54" i="10"/>
  <c r="F54" i="10"/>
  <c r="G54" i="10"/>
  <c r="H54" i="10"/>
  <c r="I54" i="10"/>
  <c r="J54" i="10"/>
  <c r="C55" i="10"/>
  <c r="D55" i="10"/>
  <c r="E55" i="10"/>
  <c r="F55" i="10"/>
  <c r="G55" i="10"/>
  <c r="H55" i="10"/>
  <c r="I55" i="10"/>
  <c r="J55" i="10"/>
  <c r="J53" i="10"/>
  <c r="I53" i="10"/>
  <c r="H53" i="10"/>
  <c r="G53" i="10"/>
  <c r="F53" i="10"/>
  <c r="E53" i="10"/>
  <c r="D53" i="10"/>
  <c r="C53" i="10"/>
  <c r="AF43" i="9"/>
  <c r="N10" i="12" s="1"/>
  <c r="AF44" i="9"/>
  <c r="N11" i="12" s="1"/>
  <c r="AF42" i="9"/>
  <c r="N9" i="12" s="1"/>
  <c r="AE43" i="9"/>
  <c r="P10" i="12" s="1"/>
  <c r="AE44" i="9"/>
  <c r="P11" i="12" s="1"/>
  <c r="AE42" i="9"/>
  <c r="P9" i="12" s="1"/>
  <c r="AD43" i="9"/>
  <c r="O10" i="12" s="1"/>
  <c r="AD44" i="9"/>
  <c r="O11" i="12" s="1"/>
  <c r="AD42" i="9"/>
  <c r="O9" i="12" s="1"/>
  <c r="AC43" i="9"/>
  <c r="AC44" i="9"/>
  <c r="AC42" i="9"/>
  <c r="AA43" i="9"/>
  <c r="L10" i="12" s="1"/>
  <c r="AA44" i="9"/>
  <c r="L11" i="12" s="1"/>
  <c r="AA42" i="9"/>
  <c r="L9" i="12" s="1"/>
  <c r="AB41" i="9"/>
  <c r="AA39" i="9"/>
  <c r="L53" i="10" s="1"/>
  <c r="Z39" i="9"/>
  <c r="L58" i="9"/>
  <c r="AB39" i="9" s="1"/>
  <c r="AF41" i="9"/>
  <c r="N55" i="10" s="1"/>
  <c r="AE41" i="9"/>
  <c r="P55" i="10" s="1"/>
  <c r="AD41" i="9"/>
  <c r="O55" i="10" s="1"/>
  <c r="AC41" i="9"/>
  <c r="AA41" i="9"/>
  <c r="L55" i="10" s="1"/>
  <c r="Z41" i="9"/>
  <c r="AF40" i="9"/>
  <c r="N54" i="10" s="1"/>
  <c r="AE40" i="9"/>
  <c r="P54" i="10" s="1"/>
  <c r="AD40" i="9"/>
  <c r="O54" i="10" s="1"/>
  <c r="AC40" i="9"/>
  <c r="AA40" i="9"/>
  <c r="L54" i="10" s="1"/>
  <c r="Z40" i="9"/>
  <c r="AF39" i="9"/>
  <c r="N53" i="10" s="1"/>
  <c r="AE39" i="9"/>
  <c r="P53" i="10" s="1"/>
  <c r="AD39" i="9"/>
  <c r="O53" i="10" s="1"/>
  <c r="AC39" i="9"/>
  <c r="K55" i="10" l="1"/>
  <c r="J80" i="10"/>
  <c r="J90" i="10"/>
  <c r="M55" i="10"/>
  <c r="M53" i="10"/>
  <c r="L89" i="10"/>
  <c r="J88" i="10"/>
  <c r="L86" i="10"/>
  <c r="J85" i="10"/>
  <c r="J87" i="10"/>
  <c r="L84" i="10"/>
  <c r="L83" i="10"/>
  <c r="J82" i="10"/>
  <c r="J81" i="10"/>
  <c r="AB40" i="9"/>
  <c r="K54" i="10"/>
  <c r="K53" i="10"/>
  <c r="AF18" i="9"/>
  <c r="M54" i="10" l="1"/>
  <c r="Z18" i="9"/>
  <c r="J34" i="10" l="1"/>
  <c r="J35" i="10"/>
  <c r="J33" i="10"/>
  <c r="I34" i="10"/>
  <c r="I35" i="10"/>
  <c r="I33" i="10"/>
  <c r="H34" i="10"/>
  <c r="H35" i="10"/>
  <c r="H33" i="10"/>
  <c r="G34" i="10"/>
  <c r="G35" i="10"/>
  <c r="G33" i="10"/>
  <c r="F34" i="10"/>
  <c r="F35" i="10"/>
  <c r="F33" i="10"/>
  <c r="E34" i="10"/>
  <c r="E35" i="10"/>
  <c r="E33" i="10"/>
  <c r="D34" i="10"/>
  <c r="D35" i="10"/>
  <c r="D33" i="10"/>
  <c r="C34" i="10"/>
  <c r="C35" i="10"/>
  <c r="C33" i="10"/>
  <c r="AF19" i="9"/>
  <c r="AF20" i="9"/>
  <c r="AE19" i="9"/>
  <c r="AE20" i="9"/>
  <c r="AE18" i="9"/>
  <c r="AD19" i="9"/>
  <c r="AD20" i="9"/>
  <c r="AD18" i="9"/>
  <c r="AC19" i="9"/>
  <c r="AC20" i="9"/>
  <c r="AC18" i="9"/>
  <c r="AA19" i="9"/>
  <c r="AA20" i="9"/>
  <c r="AA18" i="9"/>
  <c r="Z19" i="9"/>
  <c r="Z20" i="9"/>
  <c r="L57" i="9"/>
  <c r="K33" i="10" l="1"/>
  <c r="C4" i="10"/>
  <c r="C13" i="10" l="1"/>
  <c r="I25" i="10" l="1"/>
  <c r="L56" i="9" l="1"/>
  <c r="AB33" i="9" s="1"/>
  <c r="Z33" i="9"/>
  <c r="C50" i="10"/>
  <c r="D50" i="10"/>
  <c r="E50" i="10"/>
  <c r="F50" i="10"/>
  <c r="G50" i="10"/>
  <c r="H50" i="10"/>
  <c r="I50" i="10"/>
  <c r="J50" i="10"/>
  <c r="C51" i="10"/>
  <c r="D51" i="10"/>
  <c r="E51" i="10"/>
  <c r="F51" i="10"/>
  <c r="G51" i="10"/>
  <c r="H51" i="10"/>
  <c r="I51" i="10"/>
  <c r="J51" i="10"/>
  <c r="J49" i="10"/>
  <c r="I49" i="10"/>
  <c r="H49" i="10"/>
  <c r="G49" i="10"/>
  <c r="F49" i="10"/>
  <c r="E49" i="10"/>
  <c r="D49" i="10"/>
  <c r="C49" i="10"/>
  <c r="B51" i="10"/>
  <c r="B50" i="10"/>
  <c r="B49" i="10"/>
  <c r="M49" i="10" l="1"/>
  <c r="AB35" i="9"/>
  <c r="K51" i="10"/>
  <c r="AB34" i="9"/>
  <c r="K50" i="10"/>
  <c r="K49" i="10"/>
  <c r="AF35" i="9"/>
  <c r="N51" i="10" s="1"/>
  <c r="AE35" i="9"/>
  <c r="P51" i="10" s="1"/>
  <c r="AD35" i="9"/>
  <c r="O51" i="10" s="1"/>
  <c r="AC35" i="9"/>
  <c r="AA35" i="9"/>
  <c r="L51" i="10" s="1"/>
  <c r="Z35" i="9"/>
  <c r="AF34" i="9"/>
  <c r="N50" i="10" s="1"/>
  <c r="AE34" i="9"/>
  <c r="P50" i="10" s="1"/>
  <c r="AD34" i="9"/>
  <c r="O50" i="10" s="1"/>
  <c r="AC34" i="9"/>
  <c r="AA34" i="9"/>
  <c r="L50" i="10" s="1"/>
  <c r="Z34" i="9"/>
  <c r="AF33" i="9"/>
  <c r="N49" i="10" s="1"/>
  <c r="AE33" i="9"/>
  <c r="P49" i="10" s="1"/>
  <c r="AD33" i="9"/>
  <c r="O49" i="10" s="1"/>
  <c r="AC33" i="9"/>
  <c r="AA33" i="9"/>
  <c r="L49" i="10" s="1"/>
  <c r="M50" i="10" l="1"/>
  <c r="M51" i="10"/>
  <c r="AF5" i="9"/>
  <c r="AF4" i="9"/>
  <c r="AA3" i="9"/>
  <c r="Z3" i="9"/>
  <c r="AE13" i="9" l="1"/>
  <c r="AF13" i="9"/>
  <c r="AF14" i="9"/>
  <c r="AF12" i="9"/>
  <c r="AE14" i="9"/>
  <c r="AE12" i="9"/>
  <c r="AD13" i="9"/>
  <c r="AD14" i="9"/>
  <c r="AD12" i="9"/>
  <c r="AC13" i="9"/>
  <c r="AC14" i="9"/>
  <c r="AC12" i="9"/>
  <c r="Z13" i="9"/>
  <c r="Z14" i="9"/>
  <c r="Z12" i="9"/>
  <c r="AA13" i="9"/>
  <c r="AA14" i="9"/>
  <c r="AA12" i="9"/>
  <c r="AF27" i="9"/>
  <c r="N41" i="10" s="1"/>
  <c r="J26" i="10"/>
  <c r="J27" i="10"/>
  <c r="J25" i="10"/>
  <c r="K25" i="10" s="1"/>
  <c r="I26" i="10"/>
  <c r="I27" i="10"/>
  <c r="H26" i="10"/>
  <c r="H27" i="10"/>
  <c r="H25" i="10"/>
  <c r="G26" i="10"/>
  <c r="G27" i="10"/>
  <c r="G25" i="10"/>
  <c r="F26" i="10"/>
  <c r="F27" i="10"/>
  <c r="F25" i="10"/>
  <c r="E26" i="10"/>
  <c r="E27" i="10"/>
  <c r="E25" i="10"/>
  <c r="D26" i="10"/>
  <c r="D27" i="10"/>
  <c r="D25" i="10"/>
  <c r="C26" i="10"/>
  <c r="C27" i="10"/>
  <c r="C25" i="10"/>
  <c r="AF28" i="9"/>
  <c r="N42" i="10" s="1"/>
  <c r="AF29" i="9"/>
  <c r="N43" i="10" s="1"/>
  <c r="AF30" i="9"/>
  <c r="N45" i="10" s="1"/>
  <c r="AF31" i="9"/>
  <c r="N46" i="10" s="1"/>
  <c r="AF32" i="9"/>
  <c r="N47" i="10" s="1"/>
  <c r="AF23" i="9"/>
  <c r="AE27" i="9"/>
  <c r="P41" i="10" s="1"/>
  <c r="AE28" i="9"/>
  <c r="P42" i="10" s="1"/>
  <c r="AE29" i="9"/>
  <c r="P43" i="10" s="1"/>
  <c r="AE30" i="9"/>
  <c r="P45" i="10" s="1"/>
  <c r="AE31" i="9"/>
  <c r="P46" i="10" s="1"/>
  <c r="AE32" i="9"/>
  <c r="P47" i="10" s="1"/>
  <c r="AE23" i="9"/>
  <c r="AD27" i="9"/>
  <c r="O41" i="10" s="1"/>
  <c r="AD28" i="9"/>
  <c r="O42" i="10" s="1"/>
  <c r="AD29" i="9"/>
  <c r="O43" i="10" s="1"/>
  <c r="AD30" i="9"/>
  <c r="O45" i="10" s="1"/>
  <c r="AD31" i="9"/>
  <c r="O46" i="10" s="1"/>
  <c r="AD32" i="9"/>
  <c r="O47" i="10" s="1"/>
  <c r="AD23" i="9"/>
  <c r="AC27" i="9"/>
  <c r="AC28" i="9"/>
  <c r="AC29" i="9"/>
  <c r="AC30" i="9"/>
  <c r="AC31" i="9"/>
  <c r="AC32" i="9"/>
  <c r="AC23" i="9"/>
  <c r="AA27" i="9"/>
  <c r="L41" i="10" s="1"/>
  <c r="AA28" i="9"/>
  <c r="L42" i="10" s="1"/>
  <c r="AA29" i="9"/>
  <c r="L43" i="10" s="1"/>
  <c r="AA30" i="9"/>
  <c r="L45" i="10" s="1"/>
  <c r="AA31" i="9"/>
  <c r="L46" i="10" s="1"/>
  <c r="AA32" i="9"/>
  <c r="L47" i="10" s="1"/>
  <c r="AA23" i="9"/>
  <c r="Z27" i="9"/>
  <c r="Z28" i="9"/>
  <c r="Z29" i="9"/>
  <c r="Z30" i="9"/>
  <c r="Z31" i="9"/>
  <c r="Z32" i="9"/>
  <c r="Z23" i="9"/>
  <c r="C46" i="10"/>
  <c r="D46" i="10"/>
  <c r="E46" i="10"/>
  <c r="F46" i="10"/>
  <c r="G46" i="10"/>
  <c r="H46" i="10"/>
  <c r="I46" i="10"/>
  <c r="J46" i="10"/>
  <c r="C47" i="10"/>
  <c r="D47" i="10"/>
  <c r="E47" i="10"/>
  <c r="F47" i="10"/>
  <c r="G47" i="10"/>
  <c r="H47" i="10"/>
  <c r="I47" i="10"/>
  <c r="J47" i="10"/>
  <c r="J45" i="10"/>
  <c r="I45" i="10"/>
  <c r="H45" i="10"/>
  <c r="G45" i="10"/>
  <c r="F45" i="10"/>
  <c r="E45" i="10"/>
  <c r="D45" i="10"/>
  <c r="C45" i="10"/>
  <c r="C42" i="10"/>
  <c r="D42" i="10"/>
  <c r="E42" i="10"/>
  <c r="F42" i="10"/>
  <c r="G42" i="10"/>
  <c r="H42" i="10"/>
  <c r="I42" i="10"/>
  <c r="J42" i="10"/>
  <c r="C43" i="10"/>
  <c r="D43" i="10"/>
  <c r="E43" i="10"/>
  <c r="F43" i="10"/>
  <c r="G43" i="10"/>
  <c r="H43" i="10"/>
  <c r="I43" i="10"/>
  <c r="J43" i="10"/>
  <c r="J41" i="10"/>
  <c r="I41" i="10"/>
  <c r="H41" i="10"/>
  <c r="G41" i="10"/>
  <c r="F41" i="10"/>
  <c r="E41" i="10"/>
  <c r="D41" i="10"/>
  <c r="C41" i="10"/>
  <c r="B46" i="10"/>
  <c r="B47" i="10"/>
  <c r="B45" i="10"/>
  <c r="B42" i="10"/>
  <c r="B43" i="10"/>
  <c r="B41" i="10"/>
  <c r="L53" i="9"/>
  <c r="L54" i="9"/>
  <c r="AB27" i="9" s="1"/>
  <c r="L55" i="9"/>
  <c r="AB31" i="9" s="1"/>
  <c r="M46" i="10" l="1"/>
  <c r="M41" i="10"/>
  <c r="AB29" i="9"/>
  <c r="K45" i="10"/>
  <c r="AB30" i="9"/>
  <c r="K47" i="10"/>
  <c r="K46" i="10"/>
  <c r="AB32" i="9"/>
  <c r="AB28" i="9"/>
  <c r="K43" i="10"/>
  <c r="K41" i="10"/>
  <c r="K42" i="10"/>
  <c r="M43" i="10" l="1"/>
  <c r="M42" i="10"/>
  <c r="M45" i="10"/>
  <c r="M47" i="10"/>
  <c r="AE4" i="9"/>
  <c r="B38" i="10" l="1"/>
  <c r="B39" i="10"/>
  <c r="B37" i="10"/>
  <c r="B34" i="10"/>
  <c r="B35" i="10"/>
  <c r="B33" i="10"/>
  <c r="B30" i="10"/>
  <c r="B31" i="10"/>
  <c r="B29" i="10"/>
  <c r="B26" i="10"/>
  <c r="B27" i="10"/>
  <c r="B25" i="10"/>
  <c r="B22" i="10"/>
  <c r="B23" i="10"/>
  <c r="B21" i="10"/>
  <c r="B18" i="10"/>
  <c r="B19" i="10"/>
  <c r="B17" i="10"/>
  <c r="B13" i="10"/>
  <c r="B9" i="10" s="1"/>
  <c r="B14" i="10"/>
  <c r="B10" i="10" s="1"/>
  <c r="J79" i="10" s="1"/>
  <c r="B15" i="10"/>
  <c r="B11" i="10" s="1"/>
  <c r="L79" i="10" s="1"/>
  <c r="AF3" i="9" l="1"/>
  <c r="D38" i="10"/>
  <c r="E38" i="10"/>
  <c r="D39" i="10"/>
  <c r="E39" i="10"/>
  <c r="E37" i="10"/>
  <c r="D37" i="10"/>
  <c r="D30" i="10"/>
  <c r="E30" i="10"/>
  <c r="D31" i="10"/>
  <c r="E31" i="10"/>
  <c r="E29" i="10"/>
  <c r="D29" i="10"/>
  <c r="E22" i="10"/>
  <c r="E23" i="10"/>
  <c r="E21" i="10"/>
  <c r="D22" i="10"/>
  <c r="D23" i="10"/>
  <c r="D21" i="10"/>
  <c r="D18" i="10"/>
  <c r="E18" i="10"/>
  <c r="D19" i="10"/>
  <c r="E19" i="10"/>
  <c r="E17" i="10"/>
  <c r="D17" i="10"/>
  <c r="E14" i="10"/>
  <c r="E15" i="10"/>
  <c r="E13" i="10"/>
  <c r="D14" i="10"/>
  <c r="D15" i="10"/>
  <c r="D13" i="10"/>
  <c r="E11" i="10" l="1"/>
  <c r="E9" i="10"/>
  <c r="D9" i="10"/>
  <c r="D11" i="10"/>
  <c r="E10" i="10"/>
  <c r="D10" i="10"/>
  <c r="F18" i="10"/>
  <c r="C38" i="10"/>
  <c r="C39" i="10"/>
  <c r="C37" i="10"/>
  <c r="F38" i="10"/>
  <c r="G38" i="10"/>
  <c r="H38" i="10"/>
  <c r="I38" i="10"/>
  <c r="J38" i="10"/>
  <c r="F39" i="10"/>
  <c r="G39" i="10"/>
  <c r="H39" i="10"/>
  <c r="I39" i="10"/>
  <c r="J39" i="10"/>
  <c r="J37" i="10"/>
  <c r="I37" i="10"/>
  <c r="H37" i="10"/>
  <c r="G37" i="10"/>
  <c r="F37" i="10"/>
  <c r="L52" i="9"/>
  <c r="N39" i="10"/>
  <c r="P39" i="10"/>
  <c r="O39" i="10"/>
  <c r="L39" i="10"/>
  <c r="AF22" i="9"/>
  <c r="N38" i="10" s="1"/>
  <c r="AE22" i="9"/>
  <c r="P38" i="10" s="1"/>
  <c r="AD22" i="9"/>
  <c r="O38" i="10" s="1"/>
  <c r="AC22" i="9"/>
  <c r="AA22" i="9"/>
  <c r="L38" i="10" s="1"/>
  <c r="Z22" i="9"/>
  <c r="AF21" i="9"/>
  <c r="N37" i="10" s="1"/>
  <c r="AE21" i="9"/>
  <c r="P37" i="10" s="1"/>
  <c r="AD21" i="9"/>
  <c r="O37" i="10" s="1"/>
  <c r="AC21" i="9"/>
  <c r="AA21" i="9"/>
  <c r="L37" i="10" s="1"/>
  <c r="Z21" i="9"/>
  <c r="C32" i="2"/>
  <c r="D32" i="2"/>
  <c r="E32" i="2"/>
  <c r="G32" i="2"/>
  <c r="H32" i="2"/>
  <c r="I32" i="2"/>
  <c r="J32" i="2"/>
  <c r="K32" i="2"/>
  <c r="L32" i="2"/>
  <c r="N32" i="2"/>
  <c r="O32" i="2"/>
  <c r="C33" i="2"/>
  <c r="D33" i="2"/>
  <c r="E33" i="2"/>
  <c r="G33" i="2"/>
  <c r="H33" i="2"/>
  <c r="I33" i="2"/>
  <c r="J33" i="2"/>
  <c r="K33" i="2"/>
  <c r="L33" i="2"/>
  <c r="N33" i="2"/>
  <c r="O33" i="2"/>
  <c r="D31" i="2"/>
  <c r="E31" i="2"/>
  <c r="G31" i="2"/>
  <c r="H31" i="2"/>
  <c r="I31" i="2"/>
  <c r="J31" i="2"/>
  <c r="K31" i="2"/>
  <c r="L31" i="2"/>
  <c r="N31" i="2"/>
  <c r="O31" i="2"/>
  <c r="C31" i="2"/>
  <c r="AB21" i="9" l="1"/>
  <c r="AB23" i="9"/>
  <c r="K39" i="10"/>
  <c r="AB22" i="9"/>
  <c r="K38" i="10"/>
  <c r="K37" i="10"/>
  <c r="C2" i="5"/>
  <c r="O32" i="5"/>
  <c r="N32" i="5"/>
  <c r="N33" i="5"/>
  <c r="O33" i="5"/>
  <c r="O31" i="5"/>
  <c r="N31" i="5"/>
  <c r="K32" i="5"/>
  <c r="G32" i="5"/>
  <c r="H32" i="5"/>
  <c r="I32" i="5"/>
  <c r="J32" i="5"/>
  <c r="L32" i="5"/>
  <c r="G33" i="5"/>
  <c r="H33" i="5"/>
  <c r="I33" i="5"/>
  <c r="J33" i="5"/>
  <c r="K33" i="5"/>
  <c r="L33" i="5"/>
  <c r="H31" i="5"/>
  <c r="I31" i="5"/>
  <c r="J31" i="5"/>
  <c r="K31" i="5"/>
  <c r="L31" i="5"/>
  <c r="G31" i="5"/>
  <c r="D32" i="5"/>
  <c r="C32" i="5"/>
  <c r="E32" i="5"/>
  <c r="C33" i="5"/>
  <c r="D33" i="5"/>
  <c r="E33" i="5"/>
  <c r="D31" i="5"/>
  <c r="E31" i="5"/>
  <c r="C31" i="5"/>
  <c r="M37" i="10" l="1"/>
  <c r="M38" i="10"/>
  <c r="M39" i="10"/>
  <c r="N9" i="10"/>
  <c r="L48" i="9"/>
  <c r="L47" i="9"/>
  <c r="L49" i="9"/>
  <c r="L50" i="9"/>
  <c r="L51" i="9"/>
  <c r="AB19" i="9" s="1"/>
  <c r="L46" i="9"/>
  <c r="C2" i="2"/>
  <c r="AB43" i="9" l="1"/>
  <c r="M10" i="12" s="1"/>
  <c r="AB44" i="9"/>
  <c r="M11" i="12" s="1"/>
  <c r="AB42" i="9"/>
  <c r="M9" i="12" s="1"/>
  <c r="AB18" i="9"/>
  <c r="AB20" i="9"/>
  <c r="AB12" i="9"/>
  <c r="AB13" i="9"/>
  <c r="AB14" i="9"/>
  <c r="AB4" i="9"/>
  <c r="AB3" i="9"/>
  <c r="AB6" i="9"/>
  <c r="AB7" i="9"/>
  <c r="C30" i="10"/>
  <c r="C31" i="10"/>
  <c r="C29" i="10"/>
  <c r="J30" i="10"/>
  <c r="J31" i="10"/>
  <c r="J29" i="10"/>
  <c r="I30" i="10"/>
  <c r="I31" i="10"/>
  <c r="I29" i="10"/>
  <c r="H30" i="10"/>
  <c r="H31" i="10"/>
  <c r="H29" i="10"/>
  <c r="G30" i="10"/>
  <c r="G31" i="10"/>
  <c r="G29" i="10"/>
  <c r="F30" i="10"/>
  <c r="F31" i="10"/>
  <c r="F29" i="10"/>
  <c r="M34" i="10"/>
  <c r="AB17" i="9"/>
  <c r="AB16" i="9"/>
  <c r="AB15" i="9"/>
  <c r="N35" i="10"/>
  <c r="P35" i="10"/>
  <c r="O35" i="10"/>
  <c r="L35" i="10"/>
  <c r="N34" i="10"/>
  <c r="P34" i="10"/>
  <c r="O34" i="10"/>
  <c r="L34" i="10"/>
  <c r="N33" i="10"/>
  <c r="P33" i="10"/>
  <c r="O33" i="10"/>
  <c r="L33" i="10"/>
  <c r="AF17" i="9"/>
  <c r="N31" i="10" s="1"/>
  <c r="AE17" i="9"/>
  <c r="P31" i="10" s="1"/>
  <c r="AD17" i="9"/>
  <c r="O31" i="10" s="1"/>
  <c r="AC17" i="9"/>
  <c r="AA17" i="9"/>
  <c r="L31" i="10" s="1"/>
  <c r="Z17" i="9"/>
  <c r="AF16" i="9"/>
  <c r="N30" i="10" s="1"/>
  <c r="AE16" i="9"/>
  <c r="P30" i="10" s="1"/>
  <c r="AD16" i="9"/>
  <c r="O30" i="10" s="1"/>
  <c r="AC16" i="9"/>
  <c r="AA16" i="9"/>
  <c r="L30" i="10" s="1"/>
  <c r="Z16" i="9"/>
  <c r="AF15" i="9"/>
  <c r="N29" i="10" s="1"/>
  <c r="AE15" i="9"/>
  <c r="P29" i="10" s="1"/>
  <c r="AD15" i="9"/>
  <c r="O29" i="10" s="1"/>
  <c r="AC15" i="9"/>
  <c r="AA15" i="9"/>
  <c r="L29" i="10" s="1"/>
  <c r="Z15" i="9"/>
  <c r="H13" i="10"/>
  <c r="M30" i="10" l="1"/>
  <c r="M35" i="10"/>
  <c r="M31" i="10"/>
  <c r="M33" i="10"/>
  <c r="M29" i="10"/>
  <c r="K31" i="10"/>
  <c r="K35" i="10"/>
  <c r="K30" i="10"/>
  <c r="K29" i="10"/>
  <c r="K34" i="10"/>
  <c r="AC11" i="9"/>
  <c r="AC3" i="9"/>
  <c r="AE3" i="9"/>
  <c r="AA4" i="9"/>
  <c r="G22" i="10"/>
  <c r="G23" i="10"/>
  <c r="G21" i="10"/>
  <c r="G18" i="10"/>
  <c r="G19" i="10"/>
  <c r="G17" i="10"/>
  <c r="G14" i="10"/>
  <c r="G15" i="10"/>
  <c r="G13" i="10"/>
  <c r="C22" i="10"/>
  <c r="C23" i="10"/>
  <c r="C21" i="10"/>
  <c r="C18" i="10"/>
  <c r="C19" i="10"/>
  <c r="C17" i="10"/>
  <c r="C14" i="10"/>
  <c r="C15" i="10"/>
  <c r="AF6" i="9"/>
  <c r="AF7" i="9"/>
  <c r="AF8" i="9"/>
  <c r="AF9" i="9"/>
  <c r="AF10" i="9"/>
  <c r="AF11" i="9"/>
  <c r="C9" i="10" l="1"/>
  <c r="G10" i="10"/>
  <c r="G11" i="10"/>
  <c r="C11" i="10"/>
  <c r="C10" i="10"/>
  <c r="G9" i="10"/>
  <c r="H22" i="10"/>
  <c r="H23" i="10"/>
  <c r="H21" i="10"/>
  <c r="H19" i="10"/>
  <c r="H18" i="10"/>
  <c r="H17" i="10"/>
  <c r="H14" i="10"/>
  <c r="H15" i="10"/>
  <c r="F22" i="10"/>
  <c r="F23" i="10"/>
  <c r="F21" i="10"/>
  <c r="F19" i="10"/>
  <c r="F17" i="10"/>
  <c r="F13" i="10"/>
  <c r="F14" i="10"/>
  <c r="F15" i="10"/>
  <c r="F10" i="10" l="1"/>
  <c r="F11" i="10"/>
  <c r="H11" i="10"/>
  <c r="H10" i="10"/>
  <c r="F9" i="10"/>
  <c r="H9" i="10"/>
  <c r="N10" i="10"/>
  <c r="P10" i="10"/>
  <c r="P11" i="10"/>
  <c r="P9" i="10"/>
  <c r="P13" i="10"/>
  <c r="O10" i="10"/>
  <c r="O11" i="10"/>
  <c r="O9" i="10"/>
  <c r="AD3" i="9"/>
  <c r="O13" i="10" s="1"/>
  <c r="N11" i="10"/>
  <c r="N13" i="10"/>
  <c r="L10" i="10"/>
  <c r="L11" i="10"/>
  <c r="L9" i="10"/>
  <c r="N14" i="10"/>
  <c r="N15" i="10"/>
  <c r="N17" i="10"/>
  <c r="N18" i="10"/>
  <c r="N19" i="10"/>
  <c r="N21" i="10"/>
  <c r="N22" i="10"/>
  <c r="N23" i="10"/>
  <c r="N25" i="10"/>
  <c r="N26" i="10"/>
  <c r="N27" i="10"/>
  <c r="AB11" i="9"/>
  <c r="AB9" i="9"/>
  <c r="AB10" i="9"/>
  <c r="Z4" i="9"/>
  <c r="Z5" i="9"/>
  <c r="Z6" i="9"/>
  <c r="Z7" i="9"/>
  <c r="Z8" i="9"/>
  <c r="Z9" i="9"/>
  <c r="Z10" i="9"/>
  <c r="Z11" i="9"/>
  <c r="L14" i="10"/>
  <c r="AA5" i="9"/>
  <c r="L15" i="10" s="1"/>
  <c r="AA6" i="9"/>
  <c r="L17" i="10" s="1"/>
  <c r="AA7" i="9"/>
  <c r="L18" i="10" s="1"/>
  <c r="AA8" i="9"/>
  <c r="L19" i="10" s="1"/>
  <c r="AA9" i="9"/>
  <c r="L21" i="10" s="1"/>
  <c r="AA10" i="9"/>
  <c r="L22" i="10" s="1"/>
  <c r="AA11" i="9"/>
  <c r="L23" i="10" s="1"/>
  <c r="L25" i="10"/>
  <c r="L26" i="10"/>
  <c r="L27" i="10"/>
  <c r="L13" i="10"/>
  <c r="AC4" i="9"/>
  <c r="AC5" i="9"/>
  <c r="AC6" i="9"/>
  <c r="AC7" i="9"/>
  <c r="AC8" i="9"/>
  <c r="AC9" i="9"/>
  <c r="AC10" i="9"/>
  <c r="AD4" i="9"/>
  <c r="O14" i="10" s="1"/>
  <c r="AD5" i="9"/>
  <c r="O15" i="10" s="1"/>
  <c r="AD6" i="9"/>
  <c r="O17" i="10" s="1"/>
  <c r="AD7" i="9"/>
  <c r="O18" i="10" s="1"/>
  <c r="AD8" i="9"/>
  <c r="O19" i="10" s="1"/>
  <c r="AD9" i="9"/>
  <c r="O21" i="10" s="1"/>
  <c r="AD10" i="9"/>
  <c r="O22" i="10" s="1"/>
  <c r="AD11" i="9"/>
  <c r="O23" i="10" s="1"/>
  <c r="O25" i="10"/>
  <c r="O26" i="10"/>
  <c r="O27" i="10"/>
  <c r="P14" i="10"/>
  <c r="AE5" i="9"/>
  <c r="P15" i="10" s="1"/>
  <c r="AE6" i="9"/>
  <c r="P17" i="10" s="1"/>
  <c r="AE7" i="9"/>
  <c r="P18" i="10" s="1"/>
  <c r="AE8" i="9"/>
  <c r="P19" i="10" s="1"/>
  <c r="AE9" i="9"/>
  <c r="P21" i="10" s="1"/>
  <c r="AE10" i="9"/>
  <c r="P22" i="10" s="1"/>
  <c r="AE11" i="9"/>
  <c r="P23" i="10" s="1"/>
  <c r="P25" i="10"/>
  <c r="P26" i="10"/>
  <c r="P27" i="10"/>
  <c r="J22" i="10"/>
  <c r="J23" i="10"/>
  <c r="J21" i="10"/>
  <c r="J18" i="10"/>
  <c r="J19" i="10"/>
  <c r="J17" i="10"/>
  <c r="J15" i="10"/>
  <c r="J14" i="10"/>
  <c r="J13" i="10"/>
  <c r="K27" i="10"/>
  <c r="I22" i="10"/>
  <c r="I23" i="10"/>
  <c r="I21" i="10"/>
  <c r="I18" i="10"/>
  <c r="I19" i="10"/>
  <c r="I17" i="10"/>
  <c r="I13" i="10"/>
  <c r="I14" i="10"/>
  <c r="I15" i="10"/>
  <c r="I9" i="10" l="1"/>
  <c r="I11" i="10"/>
  <c r="J11" i="10"/>
  <c r="J10" i="10"/>
  <c r="I10" i="10"/>
  <c r="J9" i="10"/>
  <c r="K23" i="10"/>
  <c r="K21" i="10"/>
  <c r="K26" i="10"/>
  <c r="K14" i="10"/>
  <c r="K17" i="10"/>
  <c r="M18" i="10"/>
  <c r="AB8" i="9"/>
  <c r="M19" i="10" s="1"/>
  <c r="K19" i="10"/>
  <c r="K18" i="10"/>
  <c r="K22" i="10"/>
  <c r="K15" i="10"/>
  <c r="K13" i="10"/>
  <c r="M25" i="10"/>
  <c r="M13" i="10"/>
  <c r="M17" i="10"/>
  <c r="M9" i="10"/>
  <c r="M11" i="10"/>
  <c r="M10" i="10"/>
  <c r="AB5" i="9"/>
  <c r="M14" i="10"/>
  <c r="M23" i="10"/>
  <c r="M22" i="10"/>
  <c r="M21" i="10"/>
  <c r="M27" i="10"/>
  <c r="M26" i="10"/>
  <c r="M15" i="10" l="1"/>
  <c r="K9" i="10"/>
  <c r="K10" i="10"/>
  <c r="K11" i="10"/>
  <c r="F8" i="8" l="1"/>
  <c r="F7" i="8"/>
  <c r="F6" i="8"/>
  <c r="F5" i="8"/>
  <c r="H37" i="1" l="1"/>
  <c r="G37" i="1"/>
  <c r="F37" i="1"/>
  <c r="E37" i="1"/>
  <c r="H35" i="1"/>
  <c r="G35" i="1"/>
  <c r="F35" i="1"/>
  <c r="E35" i="1"/>
  <c r="H33" i="1"/>
  <c r="G33" i="1"/>
  <c r="F33" i="1"/>
  <c r="E33" i="1"/>
  <c r="H25" i="1"/>
  <c r="G25" i="1"/>
  <c r="F25" i="1"/>
  <c r="E25" i="1"/>
  <c r="H23" i="1"/>
  <c r="G23" i="1"/>
  <c r="F23" i="1"/>
  <c r="E23" i="1"/>
  <c r="H21" i="1"/>
  <c r="G21" i="1"/>
  <c r="F21" i="1"/>
  <c r="E21" i="1"/>
  <c r="H13" i="1"/>
  <c r="G13" i="1"/>
  <c r="F13" i="1"/>
  <c r="E13" i="1"/>
  <c r="H11" i="1"/>
  <c r="G11" i="1"/>
  <c r="F11" i="1"/>
  <c r="E11" i="1"/>
  <c r="H9" i="1"/>
  <c r="G9" i="1"/>
  <c r="F9" i="1"/>
  <c r="E9" i="1"/>
  <c r="M4" i="1"/>
  <c r="M6" i="1" s="1"/>
  <c r="M7" i="1" l="1"/>
  <c r="M5" i="1"/>
</calcChain>
</file>

<file path=xl/connections.xml><?xml version="1.0" encoding="utf-8"?>
<connections xmlns="http://schemas.openxmlformats.org/spreadsheetml/2006/main">
  <connection id="1" interval="60" name="Conexão" type="4" refreshedVersion="4" background="1" saveData="1">
    <webPr sourceData="1" parsePre="1" consecutive="1" xl2000="1" url="http://www.xe.com/pt/currencytables/?from=EUR" htmlTables="1">
      <tables count="1">
        <s v="historicalRateTbl"/>
      </tables>
    </webPr>
  </connection>
</connections>
</file>

<file path=xl/sharedStrings.xml><?xml version="1.0" encoding="utf-8"?>
<sst xmlns="http://schemas.openxmlformats.org/spreadsheetml/2006/main" count="1075" uniqueCount="714">
  <si>
    <t>#</t>
  </si>
  <si>
    <t>Indicator</t>
  </si>
  <si>
    <t>Past Week</t>
  </si>
  <si>
    <t>4 Weeks in btw</t>
  </si>
  <si>
    <t>8 Weeks in btw</t>
  </si>
  <si>
    <t>Avg. Seats (1/2)</t>
  </si>
  <si>
    <t>Trips booked</t>
  </si>
  <si>
    <t>Users</t>
  </si>
  <si>
    <t>Current Week</t>
  </si>
  <si>
    <t>Seats Off.</t>
  </si>
  <si>
    <t>Trips Off.</t>
  </si>
  <si>
    <t>Trips Yield (4/2)</t>
  </si>
  <si>
    <t>PAX Transp.</t>
  </si>
  <si>
    <t>Avg. PAX (6/4)</t>
  </si>
  <si>
    <t>Today</t>
  </si>
  <si>
    <t>First day of week</t>
  </si>
  <si>
    <t>Last day of week</t>
  </si>
  <si>
    <t>Current week</t>
  </si>
  <si>
    <t>Brazil</t>
  </si>
  <si>
    <t>Colombia</t>
  </si>
  <si>
    <t>Mexico</t>
  </si>
  <si>
    <t>Date</t>
  </si>
  <si>
    <t>New Users</t>
  </si>
  <si>
    <t>New Drivers</t>
  </si>
  <si>
    <t>Routes Off</t>
  </si>
  <si>
    <t>Cars Off</t>
  </si>
  <si>
    <t>Seats  Off</t>
  </si>
  <si>
    <t>Routes Booked</t>
  </si>
  <si>
    <t>Cars Booked</t>
  </si>
  <si>
    <t>Seats  Booked</t>
  </si>
  <si>
    <t>New Passengers</t>
  </si>
  <si>
    <t>Brasil</t>
  </si>
  <si>
    <t>Since Inception</t>
  </si>
  <si>
    <t>YTD</t>
  </si>
  <si>
    <t>6 mounths</t>
  </si>
  <si>
    <t>3 mounths</t>
  </si>
  <si>
    <t>MTD</t>
  </si>
  <si>
    <t>WTD</t>
  </si>
  <si>
    <t>Drivers</t>
  </si>
  <si>
    <t>PAX</t>
  </si>
  <si>
    <t>Bookings</t>
  </si>
  <si>
    <t>Routs Off</t>
  </si>
  <si>
    <t>Routs Booked</t>
  </si>
  <si>
    <t>Seats Off</t>
  </si>
  <si>
    <t>Seats Booked</t>
  </si>
  <si>
    <t>Male Drivers</t>
  </si>
  <si>
    <t>Female Drivers</t>
  </si>
  <si>
    <t>Male PAX</t>
  </si>
  <si>
    <t>Female PAX</t>
  </si>
  <si>
    <t>Av. Price p/ Seat</t>
  </si>
  <si>
    <t>Male Users</t>
  </si>
  <si>
    <t>Female Users</t>
  </si>
  <si>
    <t>Malaysia</t>
  </si>
  <si>
    <t>Reference Date = Departure</t>
  </si>
  <si>
    <t>Reference Date = Booking</t>
  </si>
  <si>
    <t>current week</t>
  </si>
  <si>
    <t>past week</t>
  </si>
  <si>
    <t>4 weeks ago</t>
  </si>
  <si>
    <t>Users offering a ride for the first time</t>
  </si>
  <si>
    <t>Users taking a ride for the first time</t>
  </si>
  <si>
    <t>Number of seats offered</t>
  </si>
  <si>
    <t>New users registered in the day</t>
  </si>
  <si>
    <t>Number of diferent routes offered in the reference date</t>
  </si>
  <si>
    <t>Number of cars with at least one passenger (Bookings)</t>
  </si>
  <si>
    <t>Number of passengers transported</t>
  </si>
  <si>
    <t>Total</t>
  </si>
  <si>
    <t>Number of cars offered regardless of the numbers of passengers (Trips offered)</t>
  </si>
  <si>
    <t>Number of diferent routes with at least one booking at the day</t>
  </si>
  <si>
    <t>Number of cars with at least one passenger (Bookings) considering the booking date</t>
  </si>
  <si>
    <t>Number of passengers transported considering the booking date</t>
  </si>
  <si>
    <t>New users registered in the week</t>
  </si>
  <si>
    <t>Number of diferent routes offered in the reference week</t>
  </si>
  <si>
    <t>Number of diferent routes with at least one booking at the week</t>
  </si>
  <si>
    <t>Routes Taken</t>
  </si>
  <si>
    <t>Cars Taken</t>
  </si>
  <si>
    <t>Seats Taken</t>
  </si>
  <si>
    <t>Data</t>
  </si>
  <si>
    <t>Br322Co4333Mx3My0&gt;</t>
  </si>
  <si>
    <t>322</t>
  </si>
  <si>
    <t>322Br4333Co3Mx0My</t>
  </si>
  <si>
    <t>322Br4333</t>
  </si>
  <si>
    <t>322Br4333Co3</t>
  </si>
  <si>
    <t>322Br4333Co3Mx0</t>
  </si>
  <si>
    <t>322#4333#3#0</t>
  </si>
  <si>
    <t>Numero</t>
  </si>
  <si>
    <t>iPassangers</t>
  </si>
  <si>
    <t>iRoutesTaken</t>
  </si>
  <si>
    <t>iCarsTaken</t>
  </si>
  <si>
    <t>iSeatsTaken</t>
  </si>
  <si>
    <t>iBookCarsTaken</t>
  </si>
  <si>
    <t>iBookSeatsTaken</t>
  </si>
  <si>
    <t>iAvarageDistace</t>
  </si>
  <si>
    <t>iRejectionRate</t>
  </si>
  <si>
    <t>iCalncelationRate</t>
  </si>
  <si>
    <t>iDrivers</t>
  </si>
  <si>
    <t>iRoutesOff</t>
  </si>
  <si>
    <t>iCarsOff</t>
  </si>
  <si>
    <t>iSeatsOff</t>
  </si>
  <si>
    <t>lKmMade</t>
  </si>
  <si>
    <t>iUsers</t>
  </si>
  <si>
    <t>iBookings</t>
  </si>
  <si>
    <t>iActiveUsers</t>
  </si>
  <si>
    <t>iBookCarsOff</t>
  </si>
  <si>
    <t>Traffic Activity (New trips offered)</t>
  </si>
  <si>
    <t>Traffic Activity (New Bookings)</t>
  </si>
  <si>
    <t>Realized View (Trips realized)</t>
  </si>
  <si>
    <t>Realized View  (PAX transported)</t>
  </si>
  <si>
    <t>Traffic Activity (Available Seat Kilometer (ASK))</t>
  </si>
  <si>
    <t xml:space="preserve"> Realized View (Average PAX per trip realized)</t>
  </si>
  <si>
    <t>Realized View ( Realized TRIP Yield)</t>
  </si>
  <si>
    <t>Realized View (Average Ticket)</t>
  </si>
  <si>
    <t>My</t>
  </si>
  <si>
    <t>Mx</t>
  </si>
  <si>
    <t>Br</t>
  </si>
  <si>
    <t>Co</t>
  </si>
  <si>
    <t>Realized View (AVG REALIZED TRIP DISTANCE )</t>
  </si>
  <si>
    <t>Realized View (Driver Cancelation rate)</t>
  </si>
  <si>
    <t>Realized View (PAX Cancelation rate)</t>
  </si>
  <si>
    <t xml:space="preserve">User base view </t>
  </si>
  <si>
    <t>User base view ( % of active users)</t>
  </si>
  <si>
    <t>Código da moeda ▲▼</t>
  </si>
  <si>
    <t>Nome da moeda ▲▼</t>
  </si>
  <si>
    <t>Unidades por EUR</t>
  </si>
  <si>
    <t>EUR por unidade</t>
  </si>
  <si>
    <t>USD</t>
  </si>
  <si>
    <t>Dólar dos EUA</t>
  </si>
  <si>
    <t>EUR</t>
  </si>
  <si>
    <t>Euro</t>
  </si>
  <si>
    <t>GBP</t>
  </si>
  <si>
    <t>Libra esterlina</t>
  </si>
  <si>
    <t>INR</t>
  </si>
  <si>
    <t>Rúpia indiana</t>
  </si>
  <si>
    <t>AUD</t>
  </si>
  <si>
    <t>Dólar australiano</t>
  </si>
  <si>
    <t>CAD</t>
  </si>
  <si>
    <t>Dólar canadense</t>
  </si>
  <si>
    <t>AED</t>
  </si>
  <si>
    <t>Dirham dos Emirados</t>
  </si>
  <si>
    <t>MYR</t>
  </si>
  <si>
    <t>Ringgit malaio</t>
  </si>
  <si>
    <t>CHF</t>
  </si>
  <si>
    <t>Franco suíço</t>
  </si>
  <si>
    <t>CNY</t>
  </si>
  <si>
    <t>Yuan Renminbi chinês</t>
  </si>
  <si>
    <t>THB</t>
  </si>
  <si>
    <t>Baht tailandês</t>
  </si>
  <si>
    <t>SAR</t>
  </si>
  <si>
    <t>Rial saudita</t>
  </si>
  <si>
    <t>NZD</t>
  </si>
  <si>
    <t>Dólar neozelandês</t>
  </si>
  <si>
    <t>JPY</t>
  </si>
  <si>
    <t>Iene japonês</t>
  </si>
  <si>
    <t>SGD</t>
  </si>
  <si>
    <t>Dólar de Cingapura</t>
  </si>
  <si>
    <t>PHP</t>
  </si>
  <si>
    <t>Peso filipino</t>
  </si>
  <si>
    <t>TRY</t>
  </si>
  <si>
    <t>Lira turca</t>
  </si>
  <si>
    <t>HKD</t>
  </si>
  <si>
    <t>Dólar de Hong Kong</t>
  </si>
  <si>
    <t>IDR</t>
  </si>
  <si>
    <t>Rupia indonésia</t>
  </si>
  <si>
    <t>ZAR</t>
  </si>
  <si>
    <t>Rand sul-africano</t>
  </si>
  <si>
    <t>MXN</t>
  </si>
  <si>
    <t>Peso mexicano</t>
  </si>
  <si>
    <t>SEK</t>
  </si>
  <si>
    <t>Coroa sueca</t>
  </si>
  <si>
    <t>BRL</t>
  </si>
  <si>
    <t>Real brasileiro</t>
  </si>
  <si>
    <t>HUF</t>
  </si>
  <si>
    <t>Forint húngaro</t>
  </si>
  <si>
    <t>PKR</t>
  </si>
  <si>
    <t>Rúpia paquistanesa</t>
  </si>
  <si>
    <t>QAR</t>
  </si>
  <si>
    <t>Rial do Qatar</t>
  </si>
  <si>
    <t>OMR</t>
  </si>
  <si>
    <t>Rial omanense</t>
  </si>
  <si>
    <t>KWD</t>
  </si>
  <si>
    <t>Dinar kuwaitiano</t>
  </si>
  <si>
    <t>DKK</t>
  </si>
  <si>
    <t>Coroa dinamarquesa</t>
  </si>
  <si>
    <t>NOK</t>
  </si>
  <si>
    <t>Coroa norueguesa</t>
  </si>
  <si>
    <t>RUB</t>
  </si>
  <si>
    <t>Rublo russo</t>
  </si>
  <si>
    <t>EGP</t>
  </si>
  <si>
    <t>Libra egípcia</t>
  </si>
  <si>
    <t>KRW</t>
  </si>
  <si>
    <t>Won sul-coreano</t>
  </si>
  <si>
    <t>PLN</t>
  </si>
  <si>
    <t>Zloty polonês</t>
  </si>
  <si>
    <t>COP</t>
  </si>
  <si>
    <t>Peso colombiano</t>
  </si>
  <si>
    <t>CZK</t>
  </si>
  <si>
    <t>Coroa checa</t>
  </si>
  <si>
    <t>ILS</t>
  </si>
  <si>
    <t>Shekel israelense</t>
  </si>
  <si>
    <t>IQD</t>
  </si>
  <si>
    <t>Dinar iraquiano</t>
  </si>
  <si>
    <t>NGN</t>
  </si>
  <si>
    <t>Naira nigeriano</t>
  </si>
  <si>
    <t>MAD</t>
  </si>
  <si>
    <t>Dirham marroquino</t>
  </si>
  <si>
    <t>ARS</t>
  </si>
  <si>
    <t>Peso argentino</t>
  </si>
  <si>
    <t>LKR</t>
  </si>
  <si>
    <t>Rúpia cingalesa</t>
  </si>
  <si>
    <t>TWD</t>
  </si>
  <si>
    <t>Novo dólar taiwanês</t>
  </si>
  <si>
    <t>BDT</t>
  </si>
  <si>
    <t>Taka bengalês</t>
  </si>
  <si>
    <t>BHD</t>
  </si>
  <si>
    <t>Dinar baremita</t>
  </si>
  <si>
    <t>VND</t>
  </si>
  <si>
    <t>Dong vietnamita</t>
  </si>
  <si>
    <t>CLP</t>
  </si>
  <si>
    <t>Peso chileno</t>
  </si>
  <si>
    <t>KES</t>
  </si>
  <si>
    <t>Xelim queniano</t>
  </si>
  <si>
    <t>TND</t>
  </si>
  <si>
    <t>Dinar tunisiano</t>
  </si>
  <si>
    <t>XOF</t>
  </si>
  <si>
    <t>Franco CFA</t>
  </si>
  <si>
    <t>0.0015244902</t>
  </si>
  <si>
    <t>JOD</t>
  </si>
  <si>
    <t>Dinar jordaniano</t>
  </si>
  <si>
    <t>GHS</t>
  </si>
  <si>
    <t>Cedi ganês</t>
  </si>
  <si>
    <t>HRK</t>
  </si>
  <si>
    <t>Kuna croata</t>
  </si>
  <si>
    <t>BGN</t>
  </si>
  <si>
    <t>Lev búlgaro</t>
  </si>
  <si>
    <t>RON</t>
  </si>
  <si>
    <t>Novo leu romeno</t>
  </si>
  <si>
    <t>PEN</t>
  </si>
  <si>
    <t>Nuevo Sol peruano</t>
  </si>
  <si>
    <t>DZD</t>
  </si>
  <si>
    <t>Dinar argelino</t>
  </si>
  <si>
    <t>NPR</t>
  </si>
  <si>
    <t>Rúpia nepalesa</t>
  </si>
  <si>
    <t>XAF</t>
  </si>
  <si>
    <t>Franco CFA centroafricano BEAC</t>
  </si>
  <si>
    <t>ISK</t>
  </si>
  <si>
    <t>Coroa islandesa</t>
  </si>
  <si>
    <t>UAH</t>
  </si>
  <si>
    <t>Hryvna ucraniano</t>
  </si>
  <si>
    <t>FJD</t>
  </si>
  <si>
    <t>Dólar fijiano</t>
  </si>
  <si>
    <t>DOP</t>
  </si>
  <si>
    <t>Peso dominicano</t>
  </si>
  <si>
    <t>XPF</t>
  </si>
  <si>
    <t>Franco CFP</t>
  </si>
  <si>
    <t>0.0083800000</t>
  </si>
  <si>
    <t>MUR</t>
  </si>
  <si>
    <t>Rupia mauriciana</t>
  </si>
  <si>
    <t>AZN</t>
  </si>
  <si>
    <t>Novo manat azeri</t>
  </si>
  <si>
    <t>BAM</t>
  </si>
  <si>
    <t>Marco conversível bósnio</t>
  </si>
  <si>
    <t>0.5112918812</t>
  </si>
  <si>
    <t>XAU</t>
  </si>
  <si>
    <t>Onça de ouro</t>
  </si>
  <si>
    <t>IRR</t>
  </si>
  <si>
    <t>Rial iraniano</t>
  </si>
  <si>
    <t>RSD</t>
  </si>
  <si>
    <t>Dinar sérvio</t>
  </si>
  <si>
    <t>BND</t>
  </si>
  <si>
    <t>Dólar bruneano</t>
  </si>
  <si>
    <t>ETB</t>
  </si>
  <si>
    <t>Birr etíope</t>
  </si>
  <si>
    <t>CRC</t>
  </si>
  <si>
    <t>Colón costarriquenho</t>
  </si>
  <si>
    <t>VEF</t>
  </si>
  <si>
    <t>Bolívar venezuelano</t>
  </si>
  <si>
    <t>AFN</t>
  </si>
  <si>
    <t>Afegane afegão</t>
  </si>
  <si>
    <t>TZS</t>
  </si>
  <si>
    <t>Xelim tanzaniano</t>
  </si>
  <si>
    <t>UGX</t>
  </si>
  <si>
    <t>Xelim ugandês</t>
  </si>
  <si>
    <t>JMD</t>
  </si>
  <si>
    <t>Dólar jamaicano</t>
  </si>
  <si>
    <t>GEL</t>
  </si>
  <si>
    <t>Lari georgiano</t>
  </si>
  <si>
    <t>ZWD</t>
  </si>
  <si>
    <t>Dólar zimbabuano</t>
  </si>
  <si>
    <t>BWP</t>
  </si>
  <si>
    <t>Pula botsuano</t>
  </si>
  <si>
    <t>CUC</t>
  </si>
  <si>
    <t>Peso conversível cubano</t>
  </si>
  <si>
    <t>MMK</t>
  </si>
  <si>
    <t>Kyat birmanês</t>
  </si>
  <si>
    <t>GTQ</t>
  </si>
  <si>
    <t>Quetzal guatemalteco</t>
  </si>
  <si>
    <t>XCD</t>
  </si>
  <si>
    <t>Dólar do Caribe Oriental</t>
  </si>
  <si>
    <t>LYD</t>
  </si>
  <si>
    <t>Dinar líbio</t>
  </si>
  <si>
    <t>MKD</t>
  </si>
  <si>
    <t>Dinar macedônio</t>
  </si>
  <si>
    <t>TTD</t>
  </si>
  <si>
    <t>Dólar de Trinidad e Tobago</t>
  </si>
  <si>
    <t>MZN</t>
  </si>
  <si>
    <t>Metical moçambicano</t>
  </si>
  <si>
    <t>ALL</t>
  </si>
  <si>
    <t>Lek albanês</t>
  </si>
  <si>
    <t>BOB</t>
  </si>
  <si>
    <t>Boliviano da Bolívia</t>
  </si>
  <si>
    <t>KZT</t>
  </si>
  <si>
    <t>Tenge cazaquistanês</t>
  </si>
  <si>
    <t>BBD</t>
  </si>
  <si>
    <t>Dólar barbadiano</t>
  </si>
  <si>
    <t>AOA</t>
  </si>
  <si>
    <t>Kwanza angolano</t>
  </si>
  <si>
    <t>KHR</t>
  </si>
  <si>
    <t>Riel cambojano</t>
  </si>
  <si>
    <t>XAG</t>
  </si>
  <si>
    <t>Onça de prata</t>
  </si>
  <si>
    <t>AMD</t>
  </si>
  <si>
    <t>Dram armênio</t>
  </si>
  <si>
    <t>UYU</t>
  </si>
  <si>
    <t>Peso uruguaio</t>
  </si>
  <si>
    <t>MOP</t>
  </si>
  <si>
    <t>Pataca de Macau</t>
  </si>
  <si>
    <t>NAD</t>
  </si>
  <si>
    <t>Dólar namibiano</t>
  </si>
  <si>
    <t>LBP</t>
  </si>
  <si>
    <t>Libra libanesa</t>
  </si>
  <si>
    <t>LAK</t>
  </si>
  <si>
    <t>Kip laosiano</t>
  </si>
  <si>
    <t>BYR</t>
  </si>
  <si>
    <t>Rublo bielorrusso</t>
  </si>
  <si>
    <t>MGA</t>
  </si>
  <si>
    <t>Ariary malgaxe</t>
  </si>
  <si>
    <t>SYP</t>
  </si>
  <si>
    <t>Libra síria</t>
  </si>
  <si>
    <t>VUV</t>
  </si>
  <si>
    <t>Vatu de Ni-Vanuatu</t>
  </si>
  <si>
    <t>PGK</t>
  </si>
  <si>
    <t>Kina de Papua Nova Guiné</t>
  </si>
  <si>
    <t>MNT</t>
  </si>
  <si>
    <t>Tughrik mongol</t>
  </si>
  <si>
    <t>SDG</t>
  </si>
  <si>
    <t>Libra sudanesa</t>
  </si>
  <si>
    <t>ANG</t>
  </si>
  <si>
    <t>Florim holandês</t>
  </si>
  <si>
    <t>MWK</t>
  </si>
  <si>
    <t>Kwacha malawiana</t>
  </si>
  <si>
    <t>GMD</t>
  </si>
  <si>
    <t>Dalasi gambiano</t>
  </si>
  <si>
    <t>CUP</t>
  </si>
  <si>
    <t>Peso cubano</t>
  </si>
  <si>
    <t>RWF</t>
  </si>
  <si>
    <t>Franco ruandês</t>
  </si>
  <si>
    <t>MVR</t>
  </si>
  <si>
    <t>Rufiyaa maldiva</t>
  </si>
  <si>
    <t>BTN</t>
  </si>
  <si>
    <t>Ngultrum butanês</t>
  </si>
  <si>
    <t>SCR</t>
  </si>
  <si>
    <t>Rúpia seichelense</t>
  </si>
  <si>
    <t>HNL</t>
  </si>
  <si>
    <t>Lempira hondurenha</t>
  </si>
  <si>
    <t>KPW</t>
  </si>
  <si>
    <t>Won norte-coreano</t>
  </si>
  <si>
    <t>PYG</t>
  </si>
  <si>
    <t>Guarani paraguaio</t>
  </si>
  <si>
    <t>DJF</t>
  </si>
  <si>
    <t>Franco djibutiano</t>
  </si>
  <si>
    <t>YER</t>
  </si>
  <si>
    <t>Rial iemenita</t>
  </si>
  <si>
    <t>CDF</t>
  </si>
  <si>
    <t>Franco congolês</t>
  </si>
  <si>
    <t>WST</t>
  </si>
  <si>
    <t>Tala samoana</t>
  </si>
  <si>
    <t>GYD</t>
  </si>
  <si>
    <t>Dólar guianense</t>
  </si>
  <si>
    <t>AWG</t>
  </si>
  <si>
    <t>Florim arubano ou holandês</t>
  </si>
  <si>
    <t>MDL</t>
  </si>
  <si>
    <t>Leu moldavo</t>
  </si>
  <si>
    <t>BZD</t>
  </si>
  <si>
    <t>Dólar belizenho</t>
  </si>
  <si>
    <t>HTG</t>
  </si>
  <si>
    <t>Gourde haitiano</t>
  </si>
  <si>
    <t>KGS</t>
  </si>
  <si>
    <t>Som quirguistanês</t>
  </si>
  <si>
    <t>NIO</t>
  </si>
  <si>
    <t>Córdoba nicaraguense</t>
  </si>
  <si>
    <t>CVE</t>
  </si>
  <si>
    <t>Escudo caboverdiano</t>
  </si>
  <si>
    <t>KYD</t>
  </si>
  <si>
    <t>Dólar caimanês</t>
  </si>
  <si>
    <t>GNF</t>
  </si>
  <si>
    <t>Franco guineense</t>
  </si>
  <si>
    <t>BSD</t>
  </si>
  <si>
    <t>Dólar bahamense</t>
  </si>
  <si>
    <t>BIF</t>
  </si>
  <si>
    <t>Franco burundês</t>
  </si>
  <si>
    <t>SLL</t>
  </si>
  <si>
    <t>Leone de Serra Leoa</t>
  </si>
  <si>
    <t>MRO</t>
  </si>
  <si>
    <t>Ouguiya mauritano</t>
  </si>
  <si>
    <t>TOP</t>
  </si>
  <si>
    <t>Pa'anga de Tonga</t>
  </si>
  <si>
    <t>BMD</t>
  </si>
  <si>
    <t>Dólar bermudense</t>
  </si>
  <si>
    <t>SBD</t>
  </si>
  <si>
    <t>Dólar das Ilhas Salomão</t>
  </si>
  <si>
    <t>UZS</t>
  </si>
  <si>
    <t>Som uzbeque</t>
  </si>
  <si>
    <t>SOS</t>
  </si>
  <si>
    <t>Xelim somaliano</t>
  </si>
  <si>
    <t>PAB</t>
  </si>
  <si>
    <t>Balboa panamenho</t>
  </si>
  <si>
    <t>SRD</t>
  </si>
  <si>
    <t>Dólar do Suriname</t>
  </si>
  <si>
    <t>XDR</t>
  </si>
  <si>
    <t>Direitos de saque especiais do FMI</t>
  </si>
  <si>
    <t>SZL</t>
  </si>
  <si>
    <t>Lilangeni swazi</t>
  </si>
  <si>
    <t>ERN</t>
  </si>
  <si>
    <t>Nakfa eritreana</t>
  </si>
  <si>
    <t>LRD</t>
  </si>
  <si>
    <t>Dólar liberiano</t>
  </si>
  <si>
    <t>TJS</t>
  </si>
  <si>
    <t>Somoni tajiquistanês</t>
  </si>
  <si>
    <t>TMT</t>
  </si>
  <si>
    <t>Manat turcomano</t>
  </si>
  <si>
    <t>GIP</t>
  </si>
  <si>
    <t>Libra de Gibraltar</t>
  </si>
  <si>
    <t>LSL</t>
  </si>
  <si>
    <t>Loti do Basotho</t>
  </si>
  <si>
    <t>KMF</t>
  </si>
  <si>
    <t>Franco comorense</t>
  </si>
  <si>
    <t>0.0020326536</t>
  </si>
  <si>
    <t>SVC</t>
  </si>
  <si>
    <t>Colón salvadorenho</t>
  </si>
  <si>
    <t>GGP</t>
  </si>
  <si>
    <t>Libra de Guernsey</t>
  </si>
  <si>
    <t>XPT</t>
  </si>
  <si>
    <t>Onça de platina</t>
  </si>
  <si>
    <t>STD</t>
  </si>
  <si>
    <t>Dobra de São Tomé</t>
  </si>
  <si>
    <t>IMP</t>
  </si>
  <si>
    <t>Libra da Ilha de Man</t>
  </si>
  <si>
    <t>FKP</t>
  </si>
  <si>
    <t>Libra das Malvinas</t>
  </si>
  <si>
    <t>XPD</t>
  </si>
  <si>
    <t>Onça de paládio</t>
  </si>
  <si>
    <t>JEP</t>
  </si>
  <si>
    <t>Libra de Jersey</t>
  </si>
  <si>
    <t>SHP</t>
  </si>
  <si>
    <t>Libra de Santa Helena</t>
  </si>
  <si>
    <t>SPL</t>
  </si>
  <si>
    <t>Luigino de Seborga</t>
  </si>
  <si>
    <t>TVD</t>
  </si>
  <si>
    <t>Dólar Tuvaluano</t>
  </si>
  <si>
    <t>iSeatsTakenTotal</t>
  </si>
  <si>
    <t>iNumberPrice</t>
  </si>
  <si>
    <t>lPriceTotal</t>
  </si>
  <si>
    <t>iUsersPerCountry</t>
  </si>
  <si>
    <t>New trips offered</t>
  </si>
  <si>
    <t>New Bookings</t>
  </si>
  <si>
    <t>Available Seat Kilometer (ASK)</t>
  </si>
  <si>
    <t>Trips realized</t>
  </si>
  <si>
    <t>Realized View</t>
  </si>
  <si>
    <t>iBookBookings</t>
  </si>
  <si>
    <t>Chile</t>
  </si>
  <si>
    <t>Argentina</t>
  </si>
  <si>
    <t>Ch</t>
  </si>
  <si>
    <t>Ar</t>
  </si>
  <si>
    <t>PAX transported</t>
  </si>
  <si>
    <t>Average PAX per trip realized</t>
  </si>
  <si>
    <t>Realized TRIP Yield</t>
  </si>
  <si>
    <t>Average Ticket (EUR)</t>
  </si>
  <si>
    <t>PAX Cancelation rate</t>
  </si>
  <si>
    <t>Percentage of trips canceled by passengers that would actually become a real trip in the given period</t>
  </si>
  <si>
    <t>Daily</t>
  </si>
  <si>
    <t>Weekly</t>
  </si>
  <si>
    <t>New user</t>
  </si>
  <si>
    <t>Report generated at</t>
  </si>
  <si>
    <t>Driver Cancelation rate</t>
  </si>
  <si>
    <t>AVG Realized Trip DIstance</t>
  </si>
  <si>
    <t>Philipinas</t>
  </si>
  <si>
    <t>Ph</t>
  </si>
  <si>
    <t>Philippines</t>
  </si>
  <si>
    <t>Weekly Review by departure_country From 22/09/2014 - 28/09/2014</t>
  </si>
  <si>
    <t>New Passangers</t>
  </si>
  <si>
    <t>Traffic activity view</t>
  </si>
  <si>
    <t>Date of when users book or offer a ride on the site</t>
  </si>
  <si>
    <t>Realized view</t>
  </si>
  <si>
    <t>Date of when trips actually occurs</t>
  </si>
  <si>
    <t>Trips Offered</t>
  </si>
  <si>
    <t>Number of new trips offered in the given date. Number of trips don't include stopovers. Eg: a trip from San Francisco to Los Angeles, stoping at Monterey and Santa Maria would count as 1 trip offered.</t>
  </si>
  <si>
    <t xml:space="preserve">Number of bookings in the given period. Eg: a booking of 3 seats booked on 12/09/2014 to travel on 14/09/2014 would be counted as 1 booking on 12/09/2014 </t>
  </si>
  <si>
    <t>Number of seats offered in the given period times the number of kilometers of each trip.</t>
  </si>
  <si>
    <t>Number of trips with at least one Tripda passenger in the given period, regardless the number of bookings in the car. Eg: a trip from Bogota to Manizales with 3 PAX and 3 different bookings would caount as 1 trip.</t>
  </si>
  <si>
    <t>Number os passengers transported in the given period</t>
  </si>
  <si>
    <t>Average PAX per trip realized  (PAX transported / Trips realized)</t>
  </si>
  <si>
    <t>Percentage of outstanding trips offered that converted into a realized trip, having at least one PAX transported. Don't confuse with "Trips offered". Here we consider the date when the trip takes place. Eg: if in one day Malaysia had 100 trips outstanding and 12 trips realized, the "Realized trip yield" would be 12%.</t>
  </si>
  <si>
    <t>Average Ticket</t>
  </si>
  <si>
    <t>Averege ticket paid by  passengers in the given period</t>
  </si>
  <si>
    <t>Average realized trip distance</t>
  </si>
  <si>
    <t>Average distance traveled in the given period. The average is weighted by the number of passenger on each trip.</t>
  </si>
  <si>
    <t>Percentage of PAX affected by driver cancellations for trips that would happen in that given period.  If a Driver cancels a trip, in which no PAX has yet booked a seat, this wont't count for this statistics. Eg: If there are 100 PAX travelig on Tripda in a given day and one driver cancels a ride with 4 seats booked, the cacelation rate would be 4%</t>
  </si>
  <si>
    <t>New users on the given period</t>
  </si>
  <si>
    <t>New drivers on the given period</t>
  </si>
  <si>
    <t>New passangers  on the given period</t>
  </si>
  <si>
    <t>Monthly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</si>
  <si>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</si>
  <si>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</si>
  <si>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</si>
  <si>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</si>
  <si>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</si>
  <si>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</si>
  <si>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</si>
  <si>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</si>
  <si>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</si>
  <si>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</si>
  <si>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</si>
  <si>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</si>
  <si>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January</t>
  </si>
  <si>
    <t>February</t>
  </si>
  <si>
    <t xml:space="preserve">March </t>
  </si>
  <si>
    <t xml:space="preserve">April </t>
  </si>
  <si>
    <t xml:space="preserve">May </t>
  </si>
  <si>
    <t xml:space="preserve">June </t>
  </si>
  <si>
    <t xml:space="preserve">July </t>
  </si>
  <si>
    <t xml:space="preserve">August </t>
  </si>
  <si>
    <t xml:space="preserve">September </t>
  </si>
  <si>
    <t xml:space="preserve">October </t>
  </si>
  <si>
    <t xml:space="preserve">November </t>
  </si>
  <si>
    <t>December</t>
  </si>
  <si>
    <t>Traffic activity</t>
  </si>
  <si>
    <t>Singapore</t>
  </si>
  <si>
    <t>Malaysia + Singapore</t>
  </si>
  <si>
    <t>Taiwan</t>
  </si>
  <si>
    <t>United States</t>
  </si>
  <si>
    <t>Sg</t>
  </si>
  <si>
    <t>Tw</t>
  </si>
  <si>
    <t>Us</t>
  </si>
  <si>
    <t>India</t>
  </si>
  <si>
    <t>In</t>
  </si>
  <si>
    <t>Uy</t>
  </si>
  <si>
    <t>Uruguay</t>
  </si>
  <si>
    <t>Argentina + Uruguay</t>
  </si>
  <si>
    <t>Tripda Report - Daily</t>
  </si>
  <si>
    <t>Pk</t>
  </si>
  <si>
    <t>Pakistan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</si>
  <si>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</si>
  <si>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</si>
  <si>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</si>
  <si>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</si>
  <si>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</si>
  <si>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</si>
  <si>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</si>
  <si>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</si>
  <si>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</si>
  <si>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</si>
  <si>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</si>
  <si>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current</t>
  </si>
  <si>
    <t>rank (current)</t>
  </si>
  <si>
    <t>rank (current-2)</t>
  </si>
  <si>
    <t>rank (current -1)</t>
  </si>
  <si>
    <t>current -1</t>
  </si>
  <si>
    <t>current -2</t>
  </si>
  <si>
    <t>Country Rank</t>
  </si>
  <si>
    <t>Rank</t>
  </si>
  <si>
    <t>Country</t>
  </si>
  <si>
    <t>Pax Transported</t>
  </si>
  <si>
    <t>0.8208150000</t>
  </si>
  <si>
    <t>0.7829951621</t>
  </si>
  <si>
    <t>0.0128835121</t>
  </si>
  <si>
    <t>0.6664607392</t>
  </si>
  <si>
    <t>0.7057131803</t>
  </si>
  <si>
    <t>0.6196700891</t>
  </si>
  <si>
    <t>0.8307760043</t>
  </si>
  <si>
    <t>0.2347789949</t>
  </si>
  <si>
    <t>0.0068162681</t>
  </si>
  <si>
    <t>0.1318684232</t>
  </si>
  <si>
    <t>0.6370345215</t>
  </si>
  <si>
    <t>0.0249313774</t>
  </si>
  <si>
    <t>0.0031520829</t>
  </si>
  <si>
    <t>0.2234787249</t>
  </si>
  <si>
    <t>0.1057553679</t>
  </si>
  <si>
    <t>0.0707689124</t>
  </si>
  <si>
    <t>0.0183729178</t>
  </si>
  <si>
    <t>0.1045197470</t>
  </si>
  <si>
    <t>0.0000659048</t>
  </si>
  <si>
    <t>0.2186595096</t>
  </si>
  <si>
    <t>0.3047391869</t>
  </si>
  <si>
    <t>0.3542044337</t>
  </si>
  <si>
    <t>0.0090615924</t>
  </si>
  <si>
    <t>0.0007423823</t>
  </si>
  <si>
    <t>0.1147992992</t>
  </si>
  <si>
    <t>0.0007165715</t>
  </si>
  <si>
    <t>0.1099175767</t>
  </si>
  <si>
    <t>0.3567186385</t>
  </si>
  <si>
    <t>0.0152461574</t>
  </si>
  <si>
    <t>0.1343945968</t>
  </si>
  <si>
    <t>0.0081478611</t>
  </si>
  <si>
    <t>0.2095653284</t>
  </si>
  <si>
    <t>0.2280751234</t>
  </si>
  <si>
    <t>0.2255296117</t>
  </si>
  <si>
    <t>0.0010186210</t>
  </si>
  <si>
    <t>0.4690459975</t>
  </si>
  <si>
    <t>0.0258581420</t>
  </si>
  <si>
    <t>0.0359873994</t>
  </si>
  <si>
    <t>0.0000383813</t>
  </si>
  <si>
    <t>0.8642018300</t>
  </si>
  <si>
    <t>0.4592996035</t>
  </si>
  <si>
    <t>0.0062538387</t>
  </si>
  <si>
    <t>0.0518851608</t>
  </si>
  <si>
    <t>0.0044356432</t>
  </si>
  <si>
    <t>0.4402719591</t>
  </si>
  <si>
    <t>0.0002979394</t>
  </si>
  <si>
    <t>0.2242634437</t>
  </si>
  <si>
    <t>0.0105476099</t>
  </si>
  <si>
    <t>0.2759970081</t>
  </si>
  <si>
    <t>0.4418266730</t>
  </si>
  <si>
    <t>0.4099979133</t>
  </si>
  <si>
    <t>0.1292702200</t>
  </si>
  <si>
    <t>0.0000746203</t>
  </si>
  <si>
    <t>0.1306177684</t>
  </si>
  <si>
    <t>0.0003394316</t>
  </si>
  <si>
    <t>0.5111055070</t>
  </si>
  <si>
    <t>0.0000303209</t>
  </si>
  <si>
    <t>0.0185495161</t>
  </si>
  <si>
    <t>0.0064557510</t>
  </si>
  <si>
    <t>0.0758357499</t>
  </si>
  <si>
    <t>0.0015229648</t>
  </si>
  <si>
    <t>0.0046100336</t>
  </si>
  <si>
    <t>0.6246614659</t>
  </si>
  <si>
    <t>0.0071834774</t>
  </si>
  <si>
    <t>0.0259341917</t>
  </si>
  <si>
    <t>0.2573113106</t>
  </si>
  <si>
    <t>0.0080050722</t>
  </si>
  <si>
    <t>0.0339883486</t>
  </si>
  <si>
    <t>0.0141746050</t>
  </si>
  <si>
    <t>0.0005425095</t>
  </si>
  <si>
    <t>0.1287084953</t>
  </si>
  <si>
    <t>0.0004761219</t>
  </si>
  <si>
    <t>0.0071561901</t>
  </si>
  <si>
    <t>0.3040055553</t>
  </si>
  <si>
    <t>0.1078104715</t>
  </si>
  <si>
    <t>0.0080604854</t>
  </si>
  <si>
    <t>0.1187927628</t>
  </si>
  <si>
    <t>0.0022680713</t>
  </si>
  <si>
    <t>0.4104075000</t>
  </si>
  <si>
    <t>0.0001013296</t>
  </si>
  <si>
    <t>0.0859943251</t>
  </si>
  <si>
    <t>0.0390492394</t>
  </si>
  <si>
    <t>0.0001777147</t>
  </si>
  <si>
    <t>0.0406505099</t>
  </si>
  <si>
    <t>0.3184803487</t>
  </si>
  <si>
    <t>0.1447645560</t>
  </si>
  <si>
    <t>0.1026751144</t>
  </si>
  <si>
    <t>0.0308802259</t>
  </si>
  <si>
    <t>0.0044974916</t>
  </si>
  <si>
    <t>0.0039614091</t>
  </si>
  <si>
    <t>0.0038197036</t>
  </si>
  <si>
    <t>0.0003163831</t>
  </si>
  <si>
    <t>0.9798298637</t>
  </si>
  <si>
    <t>0.0241491407</t>
  </si>
  <si>
    <t>0.0082952713</t>
  </si>
  <si>
    <t>0.0591598882</t>
  </si>
  <si>
    <t>0.0017871030</t>
  </si>
  <si>
    <t>0.1087071436</t>
  </si>
  <si>
    <t>0.9540395658</t>
  </si>
  <si>
    <t>0.0001931624</t>
  </si>
  <si>
    <t>0.4218168285</t>
  </si>
  <si>
    <t>0.3997265348</t>
  </si>
  <si>
    <t>0.0017349156</t>
  </si>
  <si>
    <t>0.0190469957</t>
  </si>
  <si>
    <t>0.0005279564</t>
  </si>
  <si>
    <t>0.0009949673</t>
  </si>
  <si>
    <t>0.0175686258</t>
  </si>
  <si>
    <t>0.0001169087</t>
  </si>
  <si>
    <t>0.0534037096</t>
  </si>
  <si>
    <t>0.0004362632</t>
  </si>
  <si>
    <t>0.0008866444</t>
  </si>
  <si>
    <t>0.0000408355</t>
  </si>
  <si>
    <t>0.1599999577</t>
  </si>
  <si>
    <t>0.0061819147</t>
  </si>
  <si>
    <t>0.0007961741</t>
  </si>
  <si>
    <t>0.0088736832</t>
  </si>
  <si>
    <t>0.0139357396</t>
  </si>
  <si>
    <t>0.0010014807</t>
  </si>
  <si>
    <t>0.0524420756</t>
  </si>
  <si>
    <t>0.0309741509</t>
  </si>
  <si>
    <t>0.0002021832</t>
  </si>
  <si>
    <t>0.0162586379</t>
  </si>
  <si>
    <t>0.0082122564</t>
  </si>
  <si>
    <t>0.0028019423</t>
  </si>
  <si>
    <t>0.4585558677</t>
  </si>
  <si>
    <t>0.0091159714</t>
  </si>
  <si>
    <t>0.2487889362</t>
  </si>
  <si>
    <t>0.0014879017</t>
  </si>
  <si>
    <t>0.0938074286</t>
  </si>
  <si>
    <t>0.8414198013</t>
  </si>
  <si>
    <t>0.0011930874</t>
  </si>
  <si>
    <t>0.4585558659</t>
  </si>
  <si>
    <t>0.0046172896</t>
  </si>
  <si>
    <t>0.3369445575</t>
  </si>
  <si>
    <t>0.2030502204</t>
  </si>
  <si>
    <t>0.0783968697</t>
  </si>
  <si>
    <t>0.2880052632</t>
  </si>
  <si>
    <t>0.0003467891</t>
  </si>
  <si>
    <t>0.0013522488</t>
  </si>
  <si>
    <t>0.0960017522</t>
  </si>
  <si>
    <t>0.0914047931</t>
  </si>
  <si>
    <t>0.0094259874</t>
  </si>
  <si>
    <t>0.0557853093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</si>
</sst>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.0"/>
    <numFmt numFmtId="165" formatCode="0.0%"/>
    <numFmt numFmtId="166" formatCode="#,##0;[Red]#,##0"/>
    <numFmt numFmtId="167" formatCode="d/m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b/>
      <u/>
      <sz val="10"/>
      <name val="Arial"/>
      <family val="2"/>
    </font>
    <font>
      <b/>
      <u/>
      <sz val="10"/>
      <color rgb="FF222222"/>
      <name val="Arial"/>
      <family val="2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b/>
      <sz val="18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8BD9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6E6C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3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9" fontId="0" fillId="3" borderId="1" xfId="1" applyFont="1" applyFill="1" applyBorder="1" applyAlignment="1">
      <alignment horizontal="center" vertical="center"/>
    </xf>
    <xf numFmtId="9" fontId="0" fillId="3" borderId="6" xfId="1" applyFont="1" applyFill="1" applyBorder="1" applyAlignment="1">
      <alignment horizontal="center" vertical="center"/>
    </xf>
    <xf numFmtId="0" fontId="4" fillId="0" borderId="0" xfId="0" applyFont="1"/>
    <xf numFmtId="16" fontId="4" fillId="0" borderId="5" xfId="0" applyNumberFormat="1" applyFont="1" applyBorder="1" applyAlignment="1">
      <alignment horizontal="right"/>
    </xf>
    <xf numFmtId="0" fontId="4" fillId="0" borderId="1" xfId="0" applyNumberFormat="1" applyFont="1" applyBorder="1" applyAlignment="1">
      <alignment horizontal="center" vertical="center"/>
    </xf>
    <xf numFmtId="0" fontId="4" fillId="0" borderId="19" xfId="0" applyNumberFormat="1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/>
    </xf>
    <xf numFmtId="0" fontId="4" fillId="0" borderId="20" xfId="0" applyNumberFormat="1" applyFont="1" applyBorder="1" applyAlignment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0" fontId="4" fillId="0" borderId="9" xfId="0" applyNumberFormat="1" applyFont="1" applyBorder="1" applyAlignment="1">
      <alignment horizontal="center" vertical="center"/>
    </xf>
    <xf numFmtId="0" fontId="0" fillId="0" borderId="0" xfId="0"/>
    <xf numFmtId="0" fontId="0" fillId="0" borderId="24" xfId="0" applyBorder="1" applyAlignment="1">
      <alignment horizontal="right" vertical="center"/>
    </xf>
    <xf numFmtId="0" fontId="0" fillId="0" borderId="24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right" vertical="center"/>
    </xf>
    <xf numFmtId="0" fontId="0" fillId="0" borderId="29" xfId="0" applyBorder="1" applyAlignment="1">
      <alignment horizontal="center" vertical="center"/>
    </xf>
    <xf numFmtId="0" fontId="0" fillId="0" borderId="13" xfId="0" applyBorder="1" applyAlignment="1">
      <alignment horizontal="right" vertical="center"/>
    </xf>
    <xf numFmtId="0" fontId="0" fillId="5" borderId="7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5" fillId="3" borderId="21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left"/>
    </xf>
    <xf numFmtId="0" fontId="6" fillId="0" borderId="0" xfId="0" applyFont="1" applyBorder="1" applyAlignment="1"/>
    <xf numFmtId="0" fontId="4" fillId="0" borderId="5" xfId="0" applyNumberFormat="1" applyFont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14" fontId="4" fillId="0" borderId="17" xfId="0" applyNumberFormat="1" applyFont="1" applyBorder="1" applyAlignment="1">
      <alignment horizontal="center" vertical="center"/>
    </xf>
    <xf numFmtId="0" fontId="4" fillId="0" borderId="13" xfId="0" applyNumberFormat="1" applyFont="1" applyBorder="1" applyAlignment="1">
      <alignment horizontal="center" vertical="center"/>
    </xf>
    <xf numFmtId="0" fontId="4" fillId="0" borderId="14" xfId="0" applyNumberFormat="1" applyFont="1" applyBorder="1" applyAlignment="1">
      <alignment horizontal="center" vertical="center"/>
    </xf>
    <xf numFmtId="0" fontId="4" fillId="0" borderId="15" xfId="0" applyNumberFormat="1" applyFont="1" applyBorder="1" applyAlignment="1">
      <alignment horizontal="center" vertical="center"/>
    </xf>
    <xf numFmtId="16" fontId="4" fillId="0" borderId="5" xfId="0" applyNumberFormat="1" applyFont="1" applyBorder="1" applyAlignment="1">
      <alignment horizontal="center"/>
    </xf>
    <xf numFmtId="16" fontId="4" fillId="0" borderId="7" xfId="0" applyNumberFormat="1" applyFont="1" applyBorder="1" applyAlignment="1">
      <alignment horizontal="center"/>
    </xf>
    <xf numFmtId="0" fontId="4" fillId="8" borderId="31" xfId="0" applyFont="1" applyFill="1" applyBorder="1" applyAlignment="1">
      <alignment horizontal="center" vertical="center" wrapText="1"/>
    </xf>
    <xf numFmtId="0" fontId="4" fillId="8" borderId="30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5" fillId="6" borderId="33" xfId="0" applyFont="1" applyFill="1" applyBorder="1" applyAlignment="1">
      <alignment horizontal="left"/>
    </xf>
    <xf numFmtId="0" fontId="5" fillId="6" borderId="21" xfId="0" applyFont="1" applyFill="1" applyBorder="1" applyAlignment="1">
      <alignment horizontal="left"/>
    </xf>
    <xf numFmtId="0" fontId="5" fillId="7" borderId="21" xfId="0" applyFont="1" applyFill="1" applyBorder="1" applyAlignment="1">
      <alignment horizontal="left"/>
    </xf>
    <xf numFmtId="0" fontId="4" fillId="7" borderId="2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5" fillId="8" borderId="31" xfId="0" applyFont="1" applyFill="1" applyBorder="1" applyAlignment="1">
      <alignment horizontal="left" vertical="center" wrapText="1"/>
    </xf>
    <xf numFmtId="0" fontId="5" fillId="8" borderId="10" xfId="0" applyFont="1" applyFill="1" applyBorder="1" applyAlignment="1">
      <alignment horizontal="left" vertical="center" wrapText="1"/>
    </xf>
    <xf numFmtId="0" fontId="5" fillId="3" borderId="18" xfId="0" applyFont="1" applyFill="1" applyBorder="1" applyAlignment="1"/>
    <xf numFmtId="0" fontId="5" fillId="3" borderId="37" xfId="0" applyFont="1" applyFill="1" applyBorder="1" applyAlignment="1"/>
    <xf numFmtId="0" fontId="5" fillId="3" borderId="34" xfId="0" applyFont="1" applyFill="1" applyBorder="1" applyAlignment="1"/>
    <xf numFmtId="0" fontId="5" fillId="3" borderId="19" xfId="0" applyFont="1" applyFill="1" applyBorder="1" applyAlignment="1"/>
    <xf numFmtId="0" fontId="5" fillId="3" borderId="22" xfId="0" applyFont="1" applyFill="1" applyBorder="1" applyAlignment="1"/>
    <xf numFmtId="0" fontId="5" fillId="3" borderId="23" xfId="0" applyFont="1" applyFill="1" applyBorder="1" applyAlignment="1"/>
    <xf numFmtId="0" fontId="5" fillId="3" borderId="20" xfId="0" applyFont="1" applyFill="1" applyBorder="1" applyAlignment="1"/>
    <xf numFmtId="0" fontId="5" fillId="3" borderId="38" xfId="0" applyFont="1" applyFill="1" applyBorder="1" applyAlignment="1"/>
    <xf numFmtId="0" fontId="5" fillId="3" borderId="39" xfId="0" applyFont="1" applyFill="1" applyBorder="1" applyAlignment="1"/>
    <xf numFmtId="0" fontId="4" fillId="9" borderId="2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center" wrapText="1"/>
    </xf>
    <xf numFmtId="0" fontId="5" fillId="9" borderId="33" xfId="0" applyFont="1" applyFill="1" applyBorder="1" applyAlignment="1">
      <alignment horizontal="left"/>
    </xf>
    <xf numFmtId="0" fontId="5" fillId="9" borderId="21" xfId="0" applyFont="1" applyFill="1" applyBorder="1" applyAlignment="1">
      <alignment horizontal="left"/>
    </xf>
    <xf numFmtId="0" fontId="4" fillId="10" borderId="2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0" borderId="18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5" fillId="10" borderId="21" xfId="0" applyFont="1" applyFill="1" applyBorder="1" applyAlignment="1">
      <alignment horizontal="left"/>
    </xf>
    <xf numFmtId="0" fontId="4" fillId="11" borderId="31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 wrapText="1"/>
    </xf>
    <xf numFmtId="0" fontId="5" fillId="11" borderId="10" xfId="0" applyFont="1" applyFill="1" applyBorder="1" applyAlignment="1">
      <alignment horizontal="left" vertical="center" wrapText="1"/>
    </xf>
    <xf numFmtId="0" fontId="5" fillId="9" borderId="40" xfId="0" applyFont="1" applyFill="1" applyBorder="1" applyAlignment="1">
      <alignment horizontal="left"/>
    </xf>
    <xf numFmtId="0" fontId="5" fillId="11" borderId="35" xfId="0" applyFont="1" applyFill="1" applyBorder="1" applyAlignment="1">
      <alignment horizontal="left" vertical="center" wrapText="1"/>
    </xf>
    <xf numFmtId="0" fontId="5" fillId="10" borderId="33" xfId="0" applyFont="1" applyFill="1" applyBorder="1" applyAlignment="1">
      <alignment horizontal="left"/>
    </xf>
    <xf numFmtId="0" fontId="5" fillId="10" borderId="41" xfId="0" applyFont="1" applyFill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9" fontId="0" fillId="0" borderId="1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11" fillId="0" borderId="1" xfId="1" applyNumberFormat="1" applyFont="1" applyBorder="1" applyAlignment="1">
      <alignment horizontal="center" vertical="center"/>
    </xf>
    <xf numFmtId="164" fontId="11" fillId="0" borderId="8" xfId="0" applyNumberFormat="1" applyFont="1" applyBorder="1" applyAlignment="1">
      <alignment horizontal="center" vertical="center"/>
    </xf>
    <xf numFmtId="14" fontId="4" fillId="0" borderId="0" xfId="0" applyNumberFormat="1" applyFont="1"/>
    <xf numFmtId="14" fontId="6" fillId="0" borderId="0" xfId="0" applyNumberFormat="1" applyFont="1" applyBorder="1" applyAlignment="1"/>
    <xf numFmtId="0" fontId="11" fillId="0" borderId="8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165" fontId="11" fillId="0" borderId="8" xfId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65" fontId="0" fillId="0" borderId="1" xfId="1" applyNumberFormat="1" applyFon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8" xfId="1" applyNumberFormat="1" applyFont="1" applyBorder="1" applyAlignment="1">
      <alignment horizontal="center" vertical="center"/>
    </xf>
    <xf numFmtId="165" fontId="0" fillId="0" borderId="8" xfId="1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0" fillId="0" borderId="42" xfId="1" applyNumberFormat="1" applyFont="1" applyBorder="1" applyAlignment="1">
      <alignment horizontal="center" vertical="center"/>
    </xf>
    <xf numFmtId="9" fontId="0" fillId="0" borderId="42" xfId="1" applyFont="1" applyBorder="1" applyAlignment="1">
      <alignment horizontal="center" vertical="center"/>
    </xf>
    <xf numFmtId="165" fontId="0" fillId="0" borderId="42" xfId="1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0" fontId="0" fillId="0" borderId="24" xfId="1" applyNumberFormat="1" applyFont="1" applyBorder="1" applyAlignment="1">
      <alignment horizontal="center" vertical="center"/>
    </xf>
    <xf numFmtId="9" fontId="0" fillId="0" borderId="24" xfId="1" applyFont="1" applyBorder="1" applyAlignment="1">
      <alignment horizontal="center" vertical="center"/>
    </xf>
    <xf numFmtId="165" fontId="0" fillId="0" borderId="24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43" xfId="0" applyNumberFormat="1" applyBorder="1" applyAlignment="1">
      <alignment horizontal="center" vertical="center"/>
    </xf>
    <xf numFmtId="164" fontId="0" fillId="0" borderId="46" xfId="0" applyNumberForma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9" fillId="0" borderId="48" xfId="0" applyFont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164" fontId="11" fillId="0" borderId="1" xfId="0" applyNumberFormat="1" applyFont="1" applyFill="1" applyBorder="1" applyAlignment="1">
      <alignment horizontal="center" vertical="center"/>
    </xf>
    <xf numFmtId="165" fontId="11" fillId="0" borderId="1" xfId="1" applyNumberFormat="1" applyFont="1" applyFill="1" applyBorder="1" applyAlignment="1">
      <alignment horizontal="center" vertical="center"/>
    </xf>
    <xf numFmtId="164" fontId="11" fillId="0" borderId="8" xfId="0" applyNumberFormat="1" applyFont="1" applyFill="1" applyBorder="1" applyAlignment="1">
      <alignment horizontal="center" vertical="center"/>
    </xf>
    <xf numFmtId="165" fontId="11" fillId="0" borderId="8" xfId="1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/>
    <xf numFmtId="0" fontId="0" fillId="0" borderId="9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" fontId="4" fillId="0" borderId="7" xfId="0" applyNumberFormat="1" applyFont="1" applyBorder="1" applyAlignment="1">
      <alignment horizontal="right"/>
    </xf>
    <xf numFmtId="0" fontId="5" fillId="4" borderId="31" xfId="0" applyFont="1" applyFill="1" applyBorder="1" applyAlignment="1">
      <alignment horizontal="left"/>
    </xf>
    <xf numFmtId="0" fontId="5" fillId="4" borderId="51" xfId="0" applyFont="1" applyFill="1" applyBorder="1" applyAlignment="1">
      <alignment horizontal="left"/>
    </xf>
    <xf numFmtId="0" fontId="5" fillId="4" borderId="52" xfId="0" applyFont="1" applyFill="1" applyBorder="1" applyAlignment="1">
      <alignment horizontal="left"/>
    </xf>
    <xf numFmtId="16" fontId="4" fillId="0" borderId="2" xfId="0" applyNumberFormat="1" applyFont="1" applyBorder="1" applyAlignment="1">
      <alignment horizontal="right"/>
    </xf>
    <xf numFmtId="0" fontId="4" fillId="0" borderId="3" xfId="0" applyNumberFormat="1" applyFont="1" applyBorder="1" applyAlignment="1">
      <alignment horizontal="center" vertical="center"/>
    </xf>
    <xf numFmtId="0" fontId="4" fillId="0" borderId="4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0" fontId="5" fillId="2" borderId="33" xfId="0" applyFont="1" applyFill="1" applyBorder="1" applyAlignment="1">
      <alignment vertical="center"/>
    </xf>
    <xf numFmtId="0" fontId="5" fillId="2" borderId="37" xfId="0" applyFont="1" applyFill="1" applyBorder="1" applyAlignment="1">
      <alignment vertical="center"/>
    </xf>
    <xf numFmtId="0" fontId="5" fillId="3" borderId="33" xfId="0" applyFont="1" applyFill="1" applyBorder="1" applyAlignment="1">
      <alignment vertical="center"/>
    </xf>
    <xf numFmtId="0" fontId="5" fillId="3" borderId="37" xfId="0" applyFont="1" applyFill="1" applyBorder="1" applyAlignment="1">
      <alignment vertical="center"/>
    </xf>
    <xf numFmtId="0" fontId="0" fillId="0" borderId="0" xfId="0" applyAlignment="1">
      <alignment wrapText="1"/>
    </xf>
    <xf numFmtId="0" fontId="4" fillId="0" borderId="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4" fontId="4" fillId="0" borderId="5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8" fillId="13" borderId="48" xfId="0" applyFont="1" applyFill="1" applyBorder="1" applyAlignment="1">
      <alignment horizontal="center" vertical="center" wrapText="1"/>
    </xf>
    <xf numFmtId="0" fontId="18" fillId="13" borderId="53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center" vertical="center" wrapText="1"/>
    </xf>
    <xf numFmtId="0" fontId="18" fillId="13" borderId="17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5" fillId="3" borderId="34" xfId="0" applyFont="1" applyFill="1" applyBorder="1" applyAlignment="1">
      <alignment vertical="center"/>
    </xf>
    <xf numFmtId="165" fontId="11" fillId="0" borderId="6" xfId="1" applyNumberFormat="1" applyFont="1" applyBorder="1" applyAlignment="1">
      <alignment horizontal="center" vertical="center"/>
    </xf>
    <xf numFmtId="165" fontId="11" fillId="0" borderId="9" xfId="1" applyNumberFormat="1" applyFont="1" applyBorder="1" applyAlignment="1">
      <alignment horizontal="center" vertical="center"/>
    </xf>
    <xf numFmtId="0" fontId="5" fillId="2" borderId="34" xfId="0" applyFont="1" applyFill="1" applyBorder="1" applyAlignment="1">
      <alignment vertical="center"/>
    </xf>
    <xf numFmtId="164" fontId="0" fillId="0" borderId="26" xfId="0" applyNumberFormat="1" applyBorder="1" applyAlignment="1">
      <alignment horizontal="center" vertical="center"/>
    </xf>
    <xf numFmtId="165" fontId="0" fillId="0" borderId="25" xfId="1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1" xfId="0" applyBorder="1"/>
    <xf numFmtId="3" fontId="0" fillId="0" borderId="8" xfId="0" applyNumberFormat="1" applyBorder="1" applyAlignment="1">
      <alignment horizontal="center"/>
    </xf>
    <xf numFmtId="165" fontId="0" fillId="0" borderId="14" xfId="1" applyNumberFormat="1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9" fontId="0" fillId="0" borderId="26" xfId="1" applyFont="1" applyBorder="1" applyAlignment="1">
      <alignment horizontal="center" vertical="center"/>
    </xf>
    <xf numFmtId="165" fontId="0" fillId="0" borderId="26" xfId="1" applyNumberFormat="1" applyFont="1" applyBorder="1" applyAlignment="1">
      <alignment horizontal="center" vertical="center"/>
    </xf>
    <xf numFmtId="14" fontId="0" fillId="0" borderId="43" xfId="0" applyNumberForma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9" fontId="0" fillId="0" borderId="63" xfId="1" applyFont="1" applyBorder="1" applyAlignment="1">
      <alignment horizontal="center" vertical="center"/>
    </xf>
    <xf numFmtId="165" fontId="0" fillId="0" borderId="63" xfId="1" applyNumberFormat="1" applyFont="1" applyBorder="1" applyAlignment="1">
      <alignment horizontal="center" vertical="center"/>
    </xf>
    <xf numFmtId="165" fontId="0" fillId="0" borderId="61" xfId="1" applyNumberFormat="1" applyFon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9" fontId="0" fillId="0" borderId="64" xfId="1" applyFont="1" applyBorder="1" applyAlignment="1">
      <alignment horizontal="center" vertical="center"/>
    </xf>
    <xf numFmtId="165" fontId="0" fillId="0" borderId="64" xfId="1" applyNumberFormat="1" applyFont="1" applyBorder="1" applyAlignment="1">
      <alignment horizontal="center" vertical="center"/>
    </xf>
    <xf numFmtId="14" fontId="0" fillId="0" borderId="4" xfId="0" applyNumberFormat="1" applyBorder="1"/>
    <xf numFmtId="14" fontId="0" fillId="0" borderId="6" xfId="0" applyNumberFormat="1" applyBorder="1"/>
    <xf numFmtId="14" fontId="0" fillId="0" borderId="9" xfId="0" applyNumberFormat="1" applyBorder="1"/>
    <xf numFmtId="0" fontId="11" fillId="0" borderId="50" xfId="0" applyFont="1" applyBorder="1" applyAlignment="1">
      <alignment horizontal="center" vertical="center"/>
    </xf>
    <xf numFmtId="0" fontId="11" fillId="0" borderId="62" xfId="0" applyFont="1" applyBorder="1" applyAlignment="1">
      <alignment horizontal="center" vertical="center"/>
    </xf>
    <xf numFmtId="0" fontId="11" fillId="0" borderId="50" xfId="0" applyFont="1" applyFill="1" applyBorder="1" applyAlignment="1">
      <alignment horizontal="center" vertical="center"/>
    </xf>
    <xf numFmtId="0" fontId="11" fillId="0" borderId="50" xfId="1" applyNumberFormat="1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66" fontId="11" fillId="0" borderId="6" xfId="2" applyNumberFormat="1" applyFont="1" applyBorder="1" applyAlignment="1">
      <alignment horizontal="center" vertical="center"/>
    </xf>
    <xf numFmtId="0" fontId="11" fillId="0" borderId="5" xfId="1" applyNumberFormat="1" applyFont="1" applyBorder="1" applyAlignment="1">
      <alignment horizontal="center" vertical="center"/>
    </xf>
    <xf numFmtId="0" fontId="18" fillId="13" borderId="11" xfId="0" applyFont="1" applyFill="1" applyBorder="1" applyAlignment="1">
      <alignment horizontal="center" vertical="center" wrapText="1"/>
    </xf>
    <xf numFmtId="166" fontId="11" fillId="0" borderId="9" xfId="2" applyNumberFormat="1" applyFont="1" applyBorder="1" applyAlignment="1">
      <alignment horizontal="center" vertical="center"/>
    </xf>
    <xf numFmtId="164" fontId="0" fillId="0" borderId="61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0" borderId="7" xfId="0" applyFont="1" applyBorder="1" applyAlignment="1">
      <alignment horizontal="center" vertical="center"/>
    </xf>
    <xf numFmtId="0" fontId="0" fillId="0" borderId="0" xfId="0" applyBorder="1" applyAlignment="1"/>
    <xf numFmtId="164" fontId="0" fillId="0" borderId="25" xfId="0" applyNumberFormat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17" fillId="13" borderId="55" xfId="0" applyNumberFormat="1" applyFont="1" applyFill="1" applyBorder="1" applyAlignment="1">
      <alignment horizontal="center" vertical="center"/>
    </xf>
    <xf numFmtId="0" fontId="5" fillId="2" borderId="65" xfId="0" applyFont="1" applyFill="1" applyBorder="1" applyAlignment="1">
      <alignment vertical="center"/>
    </xf>
    <xf numFmtId="167" fontId="11" fillId="0" borderId="66" xfId="0" applyNumberFormat="1" applyFont="1" applyBorder="1" applyAlignment="1">
      <alignment horizontal="center" vertical="center"/>
    </xf>
    <xf numFmtId="167" fontId="11" fillId="0" borderId="67" xfId="0" applyNumberFormat="1" applyFont="1" applyBorder="1" applyAlignment="1">
      <alignment horizontal="center" vertical="center"/>
    </xf>
    <xf numFmtId="14" fontId="5" fillId="3" borderId="65" xfId="0" applyNumberFormat="1" applyFont="1" applyFill="1" applyBorder="1" applyAlignment="1">
      <alignment vertical="center"/>
    </xf>
    <xf numFmtId="0" fontId="5" fillId="3" borderId="65" xfId="0" applyFont="1" applyFill="1" applyBorder="1" applyAlignment="1">
      <alignment vertical="center"/>
    </xf>
    <xf numFmtId="0" fontId="5" fillId="2" borderId="68" xfId="0" applyFont="1" applyFill="1" applyBorder="1" applyAlignment="1">
      <alignment vertical="center"/>
    </xf>
    <xf numFmtId="14" fontId="5" fillId="3" borderId="2" xfId="0" applyNumberFormat="1" applyFont="1" applyFill="1" applyBorder="1" applyAlignment="1">
      <alignment vertical="center"/>
    </xf>
    <xf numFmtId="0" fontId="0" fillId="0" borderId="3" xfId="0" applyBorder="1"/>
    <xf numFmtId="14" fontId="5" fillId="3" borderId="5" xfId="0" applyNumberFormat="1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0" fillId="0" borderId="8" xfId="0" applyBorder="1"/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1" fillId="0" borderId="55" xfId="0" applyFont="1" applyBorder="1" applyAlignment="1">
      <alignment horizontal="center"/>
    </xf>
    <xf numFmtId="0" fontId="21" fillId="0" borderId="66" xfId="0" applyFont="1" applyFill="1" applyBorder="1" applyAlignment="1">
      <alignment horizontal="center"/>
    </xf>
    <xf numFmtId="0" fontId="0" fillId="0" borderId="0" xfId="0" applyNumberFormat="1"/>
    <xf numFmtId="0" fontId="21" fillId="14" borderId="69" xfId="0" applyFont="1" applyFill="1" applyBorder="1" applyAlignment="1">
      <alignment horizontal="center"/>
    </xf>
    <xf numFmtId="0" fontId="21" fillId="15" borderId="66" xfId="0" applyFont="1" applyFill="1" applyBorder="1" applyAlignment="1">
      <alignment horizontal="center"/>
    </xf>
    <xf numFmtId="0" fontId="21" fillId="3" borderId="66" xfId="0" applyFont="1" applyFill="1" applyBorder="1" applyAlignment="1">
      <alignment horizontal="center"/>
    </xf>
    <xf numFmtId="0" fontId="22" fillId="0" borderId="66" xfId="0" applyFont="1" applyFill="1" applyBorder="1" applyAlignment="1">
      <alignment horizontal="center"/>
    </xf>
    <xf numFmtId="0" fontId="22" fillId="0" borderId="67" xfId="0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5" fillId="3" borderId="33" xfId="0" applyFont="1" applyFill="1" applyBorder="1" applyAlignment="1">
      <alignment horizontal="left"/>
    </xf>
    <xf numFmtId="0" fontId="5" fillId="3" borderId="37" xfId="0" applyFont="1" applyFill="1" applyBorder="1" applyAlignment="1">
      <alignment horizontal="left"/>
    </xf>
    <xf numFmtId="0" fontId="5" fillId="3" borderId="34" xfId="0" applyFont="1" applyFill="1" applyBorder="1" applyAlignment="1">
      <alignment horizontal="left"/>
    </xf>
    <xf numFmtId="0" fontId="5" fillId="4" borderId="31" xfId="0" applyFont="1" applyFill="1" applyBorder="1" applyAlignment="1">
      <alignment horizontal="left" vertical="center"/>
    </xf>
    <xf numFmtId="0" fontId="5" fillId="4" borderId="52" xfId="0" applyFont="1" applyFill="1" applyBorder="1" applyAlignment="1">
      <alignment horizontal="left" vertic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0" fontId="5" fillId="3" borderId="23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left"/>
    </xf>
    <xf numFmtId="0" fontId="5" fillId="3" borderId="35" xfId="0" applyFont="1" applyFill="1" applyBorder="1" applyAlignment="1">
      <alignment horizontal="left" vertical="center"/>
    </xf>
    <xf numFmtId="0" fontId="5" fillId="3" borderId="36" xfId="0" applyFont="1" applyFill="1" applyBorder="1" applyAlignment="1">
      <alignment horizontal="left" vertical="center"/>
    </xf>
    <xf numFmtId="0" fontId="5" fillId="12" borderId="21" xfId="0" applyFont="1" applyFill="1" applyBorder="1" applyAlignment="1">
      <alignment horizontal="left"/>
    </xf>
    <xf numFmtId="0" fontId="5" fillId="12" borderId="22" xfId="0" applyFont="1" applyFill="1" applyBorder="1" applyAlignment="1">
      <alignment horizontal="left"/>
    </xf>
    <xf numFmtId="0" fontId="5" fillId="12" borderId="23" xfId="0" applyFont="1" applyFill="1" applyBorder="1" applyAlignment="1">
      <alignment horizontal="left"/>
    </xf>
    <xf numFmtId="0" fontId="5" fillId="12" borderId="21" xfId="0" applyFont="1" applyFill="1" applyBorder="1" applyAlignment="1">
      <alignment horizontal="left" vertical="center"/>
    </xf>
    <xf numFmtId="0" fontId="5" fillId="12" borderId="23" xfId="0" applyFont="1" applyFill="1" applyBorder="1" applyAlignment="1">
      <alignment horizontal="left" vertical="center"/>
    </xf>
    <xf numFmtId="0" fontId="5" fillId="3" borderId="18" xfId="0" applyFont="1" applyFill="1" applyBorder="1" applyAlignment="1"/>
    <xf numFmtId="0" fontId="5" fillId="3" borderId="37" xfId="0" applyFont="1" applyFill="1" applyBorder="1" applyAlignment="1"/>
    <xf numFmtId="0" fontId="5" fillId="3" borderId="34" xfId="0" applyFont="1" applyFill="1" applyBorder="1" applyAlignment="1"/>
    <xf numFmtId="0" fontId="5" fillId="3" borderId="19" xfId="0" applyFont="1" applyFill="1" applyBorder="1" applyAlignment="1"/>
    <xf numFmtId="0" fontId="5" fillId="3" borderId="22" xfId="0" applyFont="1" applyFill="1" applyBorder="1" applyAlignment="1"/>
    <xf numFmtId="0" fontId="5" fillId="3" borderId="23" xfId="0" applyFont="1" applyFill="1" applyBorder="1" applyAlignment="1"/>
    <xf numFmtId="0" fontId="5" fillId="3" borderId="20" xfId="0" applyFont="1" applyFill="1" applyBorder="1" applyAlignment="1"/>
    <xf numFmtId="0" fontId="5" fillId="3" borderId="38" xfId="0" applyFont="1" applyFill="1" applyBorder="1" applyAlignment="1"/>
    <xf numFmtId="0" fontId="5" fillId="3" borderId="39" xfId="0" applyFont="1" applyFill="1" applyBorder="1" applyAlignment="1"/>
    <xf numFmtId="0" fontId="7" fillId="0" borderId="32" xfId="0" applyFont="1" applyBorder="1" applyAlignment="1">
      <alignment horizontal="center" vertical="center" textRotation="90"/>
    </xf>
    <xf numFmtId="0" fontId="7" fillId="0" borderId="26" xfId="0" applyFont="1" applyBorder="1" applyAlignment="1">
      <alignment horizontal="center" vertical="center" textRotation="90"/>
    </xf>
    <xf numFmtId="0" fontId="7" fillId="0" borderId="27" xfId="0" applyFont="1" applyBorder="1" applyAlignment="1">
      <alignment horizontal="center" vertical="center" textRotation="90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9" fillId="13" borderId="1" xfId="0" applyFont="1" applyFill="1" applyBorder="1" applyAlignment="1">
      <alignment horizontal="left" vertical="center" wrapText="1"/>
    </xf>
    <xf numFmtId="0" fontId="19" fillId="13" borderId="8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vertical="center" wrapText="1"/>
    </xf>
    <xf numFmtId="0" fontId="15" fillId="0" borderId="6" xfId="0" applyFont="1" applyFill="1" applyBorder="1" applyAlignment="1">
      <alignment vertical="center" wrapText="1"/>
    </xf>
    <xf numFmtId="0" fontId="15" fillId="0" borderId="8" xfId="0" applyFont="1" applyFill="1" applyBorder="1" applyAlignment="1">
      <alignment vertical="center" wrapText="1"/>
    </xf>
    <xf numFmtId="0" fontId="15" fillId="0" borderId="9" xfId="0" applyFont="1" applyFill="1" applyBorder="1" applyAlignment="1">
      <alignment vertical="center" wrapText="1"/>
    </xf>
    <xf numFmtId="0" fontId="15" fillId="0" borderId="3" xfId="0" applyFont="1" applyFill="1" applyBorder="1" applyAlignment="1">
      <alignment vertical="center" wrapText="1"/>
    </xf>
    <xf numFmtId="0" fontId="15" fillId="0" borderId="4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22" xfId="0" applyFont="1" applyFill="1" applyBorder="1" applyAlignment="1">
      <alignment vertical="center" wrapText="1"/>
    </xf>
    <xf numFmtId="0" fontId="15" fillId="0" borderId="23" xfId="0" applyFont="1" applyFill="1" applyBorder="1" applyAlignment="1">
      <alignment vertical="center" wrapText="1"/>
    </xf>
    <xf numFmtId="0" fontId="16" fillId="2" borderId="31" xfId="0" applyFont="1" applyFill="1" applyBorder="1" applyAlignment="1">
      <alignment horizontal="center" vertical="center" wrapText="1"/>
    </xf>
    <xf numFmtId="0" fontId="16" fillId="2" borderId="56" xfId="0" applyFont="1" applyFill="1" applyBorder="1" applyAlignment="1">
      <alignment horizontal="center" vertical="center" wrapText="1"/>
    </xf>
    <xf numFmtId="0" fontId="16" fillId="2" borderId="35" xfId="0" applyFont="1" applyFill="1" applyBorder="1" applyAlignment="1">
      <alignment horizontal="center" vertical="center" wrapText="1"/>
    </xf>
    <xf numFmtId="0" fontId="16" fillId="2" borderId="47" xfId="0" applyFont="1" applyFill="1" applyBorder="1" applyAlignment="1">
      <alignment horizontal="center" vertical="center" wrapText="1"/>
    </xf>
    <xf numFmtId="0" fontId="16" fillId="2" borderId="57" xfId="0" applyFont="1" applyFill="1" applyBorder="1" applyAlignment="1">
      <alignment horizontal="center" vertical="center" wrapText="1"/>
    </xf>
    <xf numFmtId="0" fontId="16" fillId="2" borderId="58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37" xfId="0" applyFont="1" applyFill="1" applyBorder="1" applyAlignment="1">
      <alignment vertical="center" wrapText="1"/>
    </xf>
    <xf numFmtId="0" fontId="15" fillId="0" borderId="34" xfId="0" applyFont="1" applyFill="1" applyBorder="1" applyAlignment="1">
      <alignment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9" fillId="13" borderId="50" xfId="0" applyFont="1" applyFill="1" applyBorder="1" applyAlignment="1">
      <alignment horizontal="left" vertical="center" wrapText="1"/>
    </xf>
    <xf numFmtId="0" fontId="21" fillId="0" borderId="1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12" fillId="0" borderId="1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20" fillId="2" borderId="51" xfId="0" applyFont="1" applyFill="1" applyBorder="1" applyAlignment="1">
      <alignment horizontal="center"/>
    </xf>
    <xf numFmtId="0" fontId="20" fillId="2" borderId="52" xfId="0" applyFont="1" applyFill="1" applyBorder="1" applyAlignment="1">
      <alignment horizontal="center"/>
    </xf>
    <xf numFmtId="0" fontId="14" fillId="2" borderId="19" xfId="0" applyFont="1" applyFill="1" applyBorder="1"/>
    <xf numFmtId="0" fontId="14" fillId="2" borderId="50" xfId="0" applyFont="1" applyFill="1" applyBorder="1"/>
    <xf numFmtId="0" fontId="20" fillId="2" borderId="10" xfId="0" applyFont="1" applyFill="1" applyBorder="1" applyAlignment="1">
      <alignment horizontal="center"/>
    </xf>
    <xf numFmtId="0" fontId="20" fillId="2" borderId="11" xfId="0" applyFont="1" applyFill="1" applyBorder="1" applyAlignment="1">
      <alignment horizontal="center"/>
    </xf>
    <xf numFmtId="0" fontId="20" fillId="2" borderId="12" xfId="0" applyFont="1" applyFill="1" applyBorder="1" applyAlignment="1">
      <alignment horizontal="center"/>
    </xf>
    <xf numFmtId="0" fontId="0" fillId="0" borderId="19" xfId="0" applyBorder="1" applyAlignment="1"/>
    <xf numFmtId="0" fontId="0" fillId="0" borderId="22" xfId="0" applyBorder="1" applyAlignment="1"/>
    <xf numFmtId="0" fontId="0" fillId="0" borderId="50" xfId="0" applyBorder="1" applyAlignment="1"/>
    <xf numFmtId="0" fontId="19" fillId="13" borderId="3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54" xfId="0" applyFont="1" applyFill="1" applyBorder="1" applyAlignment="1">
      <alignment horizontal="left" vertical="center" wrapText="1"/>
    </xf>
    <xf numFmtId="0" fontId="22" fillId="0" borderId="50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62" xfId="0" applyFont="1" applyBorder="1" applyAlignment="1">
      <alignment horizontal="left"/>
    </xf>
    <xf numFmtId="0" fontId="22" fillId="0" borderId="8" xfId="0" applyFont="1" applyBorder="1" applyAlignment="1">
      <alignment horizontal="left"/>
    </xf>
    <xf numFmtId="0" fontId="21" fillId="0" borderId="53" xfId="0" applyFont="1" applyBorder="1" applyAlignment="1">
      <alignment horizontal="center"/>
    </xf>
    <xf numFmtId="0" fontId="21" fillId="0" borderId="48" xfId="0" applyFont="1" applyBorder="1" applyAlignment="1">
      <alignment horizontal="center"/>
    </xf>
    <xf numFmtId="1" fontId="21" fillId="14" borderId="42" xfId="0" applyNumberFormat="1" applyFont="1" applyFill="1" applyBorder="1" applyAlignment="1">
      <alignment horizontal="center"/>
    </xf>
    <xf numFmtId="1" fontId="21" fillId="0" borderId="1" xfId="0" applyNumberFormat="1" applyFont="1" applyBorder="1" applyAlignment="1">
      <alignment horizontal="center"/>
    </xf>
    <xf numFmtId="1" fontId="22" fillId="0" borderId="1" xfId="0" applyNumberFormat="1" applyFont="1" applyBorder="1" applyAlignment="1">
      <alignment horizontal="center"/>
    </xf>
    <xf numFmtId="1" fontId="21" fillId="3" borderId="1" xfId="0" applyNumberFormat="1" applyFont="1" applyFill="1" applyBorder="1" applyAlignment="1">
      <alignment horizontal="center"/>
    </xf>
    <xf numFmtId="1" fontId="21" fillId="15" borderId="1" xfId="0" applyNumberFormat="1" applyFont="1" applyFill="1" applyBorder="1" applyAlignment="1">
      <alignment horizontal="center"/>
    </xf>
    <xf numFmtId="0" fontId="21" fillId="0" borderId="50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14" borderId="59" xfId="0" applyFont="1" applyFill="1" applyBorder="1" applyAlignment="1">
      <alignment horizontal="left"/>
    </xf>
    <xf numFmtId="0" fontId="21" fillId="14" borderId="42" xfId="0" applyFont="1" applyFill="1" applyBorder="1" applyAlignment="1">
      <alignment horizontal="left"/>
    </xf>
    <xf numFmtId="0" fontId="21" fillId="3" borderId="50" xfId="0" applyFont="1" applyFill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21" fillId="15" borderId="50" xfId="0" applyFont="1" applyFill="1" applyBorder="1" applyAlignment="1">
      <alignment horizontal="left"/>
    </xf>
    <xf numFmtId="0" fontId="21" fillId="15" borderId="1" xfId="0" applyFont="1" applyFill="1" applyBorder="1" applyAlignment="1">
      <alignment horizontal="left"/>
    </xf>
    <xf numFmtId="0" fontId="21" fillId="0" borderId="17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3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1" fontId="22" fillId="0" borderId="8" xfId="0" applyNumberFormat="1" applyFont="1" applyBorder="1" applyAlignment="1">
      <alignment horizontal="center"/>
    </xf>
    <xf numFmtId="0" fontId="21" fillId="0" borderId="48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4"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18BD9D"/>
      <color rgb="FF36E6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4</xdr:row>
      <xdr:rowOff>19050</xdr:rowOff>
    </xdr:from>
    <xdr:to>
      <xdr:col>1</xdr:col>
      <xdr:colOff>434069</xdr:colOff>
      <xdr:row>5</xdr:row>
      <xdr:rowOff>116205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933450"/>
          <a:ext cx="424543" cy="297180"/>
        </a:xfrm>
        <a:prstGeom prst="rect">
          <a:avLst/>
        </a:prstGeom>
      </xdr:spPr>
    </xdr:pic>
    <xdr:clientData/>
  </xdr:twoCellAnchor>
  <xdr:twoCellAnchor editAs="oneCell">
    <xdr:from>
      <xdr:col>1</xdr:col>
      <xdr:colOff>7126</xdr:colOff>
      <xdr:row>16</xdr:row>
      <xdr:rowOff>16651</xdr:rowOff>
    </xdr:from>
    <xdr:to>
      <xdr:col>1</xdr:col>
      <xdr:colOff>439916</xdr:colOff>
      <xdr:row>17</xdr:row>
      <xdr:rowOff>104776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926" y="3274201"/>
          <a:ext cx="432790" cy="28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4725</xdr:colOff>
      <xdr:row>28</xdr:row>
      <xdr:rowOff>23775</xdr:rowOff>
    </xdr:from>
    <xdr:to>
      <xdr:col>1</xdr:col>
      <xdr:colOff>463525</xdr:colOff>
      <xdr:row>29</xdr:row>
      <xdr:rowOff>85725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25" y="5624475"/>
          <a:ext cx="458800" cy="261975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9</xdr:row>
      <xdr:rowOff>47625</xdr:rowOff>
    </xdr:from>
    <xdr:to>
      <xdr:col>12</xdr:col>
      <xdr:colOff>561975</xdr:colOff>
      <xdr:row>12</xdr:row>
      <xdr:rowOff>133350</xdr:rowOff>
    </xdr:to>
    <xdr:sp macro="[0]!Weekly" textlink="">
      <xdr:nvSpPr>
        <xdr:cNvPr id="5" name="Retângulo 4"/>
        <xdr:cNvSpPr/>
      </xdr:nvSpPr>
      <xdr:spPr>
        <a:xfrm>
          <a:off x="7334250" y="1924050"/>
          <a:ext cx="1581150" cy="657225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0</xdr:rowOff>
    </xdr:from>
    <xdr:to>
      <xdr:col>19</xdr:col>
      <xdr:colOff>361950</xdr:colOff>
      <xdr:row>9</xdr:row>
      <xdr:rowOff>85725</xdr:rowOff>
    </xdr:to>
    <xdr:sp macro="[0]!Rotina_Daily_Modificado.Diario" textlink="">
      <xdr:nvSpPr>
        <xdr:cNvPr id="2" name="Retângulo 1"/>
        <xdr:cNvSpPr/>
      </xdr:nvSpPr>
      <xdr:spPr>
        <a:xfrm>
          <a:off x="10239375" y="1504950"/>
          <a:ext cx="1581150" cy="657225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4</xdr:row>
      <xdr:rowOff>466724</xdr:rowOff>
    </xdr:from>
    <xdr:to>
      <xdr:col>20</xdr:col>
      <xdr:colOff>361950</xdr:colOff>
      <xdr:row>8</xdr:row>
      <xdr:rowOff>76499</xdr:rowOff>
    </xdr:to>
    <xdr:sp macro="[0]!Diario_Acumulado" textlink="">
      <xdr:nvSpPr>
        <xdr:cNvPr id="2" name="Retângulo 1"/>
        <xdr:cNvSpPr/>
      </xdr:nvSpPr>
      <xdr:spPr>
        <a:xfrm>
          <a:off x="10801350" y="1276349"/>
          <a:ext cx="1581150" cy="648000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13</xdr:col>
      <xdr:colOff>361950</xdr:colOff>
      <xdr:row>2</xdr:row>
      <xdr:rowOff>657225</xdr:rowOff>
    </xdr:to>
    <xdr:sp macro="[0]!Main" textlink="">
      <xdr:nvSpPr>
        <xdr:cNvPr id="2" name="Retângulo 1"/>
        <xdr:cNvSpPr/>
      </xdr:nvSpPr>
      <xdr:spPr>
        <a:xfrm>
          <a:off x="9363075" y="381000"/>
          <a:ext cx="1581150" cy="657225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27214</xdr:colOff>
      <xdr:row>8</xdr:row>
      <xdr:rowOff>108858</xdr:rowOff>
    </xdr:from>
    <xdr:to>
      <xdr:col>19</xdr:col>
      <xdr:colOff>383721</xdr:colOff>
      <xdr:row>11</xdr:row>
      <xdr:rowOff>194583</xdr:rowOff>
    </xdr:to>
    <xdr:sp macro="[0]!Rotina_Daily_Rodrigo.Diario_Rodrigo" textlink="">
      <xdr:nvSpPr>
        <xdr:cNvPr id="3" name="Retângulo 2"/>
        <xdr:cNvSpPr/>
      </xdr:nvSpPr>
      <xdr:spPr>
        <a:xfrm>
          <a:off x="19403785" y="3279322"/>
          <a:ext cx="1581150" cy="657225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  <xdr:twoCellAnchor>
    <xdr:from>
      <xdr:col>17</xdr:col>
      <xdr:colOff>13607</xdr:colOff>
      <xdr:row>16</xdr:row>
      <xdr:rowOff>108856</xdr:rowOff>
    </xdr:from>
    <xdr:to>
      <xdr:col>19</xdr:col>
      <xdr:colOff>370114</xdr:colOff>
      <xdr:row>19</xdr:row>
      <xdr:rowOff>194581</xdr:rowOff>
    </xdr:to>
    <xdr:sp macro="[0]!Semanal_Rodrigo" textlink="">
      <xdr:nvSpPr>
        <xdr:cNvPr id="4" name="Retângulo 3"/>
        <xdr:cNvSpPr/>
      </xdr:nvSpPr>
      <xdr:spPr>
        <a:xfrm>
          <a:off x="19390178" y="4830535"/>
          <a:ext cx="1581150" cy="657225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  <xdr:twoCellAnchor>
    <xdr:from>
      <xdr:col>17</xdr:col>
      <xdr:colOff>13607</xdr:colOff>
      <xdr:row>24</xdr:row>
      <xdr:rowOff>108856</xdr:rowOff>
    </xdr:from>
    <xdr:to>
      <xdr:col>19</xdr:col>
      <xdr:colOff>370114</xdr:colOff>
      <xdr:row>27</xdr:row>
      <xdr:rowOff>194581</xdr:rowOff>
    </xdr:to>
    <xdr:sp macro="[0]!Mensal_Rodrigo" textlink="">
      <xdr:nvSpPr>
        <xdr:cNvPr id="5" name="Retângulo 4"/>
        <xdr:cNvSpPr/>
      </xdr:nvSpPr>
      <xdr:spPr>
        <a:xfrm>
          <a:off x="16668750" y="4830535"/>
          <a:ext cx="1581150" cy="657225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ATUALIZAR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421822</xdr:colOff>
      <xdr:row>7</xdr:row>
      <xdr:rowOff>136071</xdr:rowOff>
    </xdr:from>
    <xdr:to>
      <xdr:col>21</xdr:col>
      <xdr:colOff>166008</xdr:colOff>
      <xdr:row>11</xdr:row>
      <xdr:rowOff>31297</xdr:rowOff>
    </xdr:to>
    <xdr:sp macro="[0]!_xludf.RANK" textlink="">
      <xdr:nvSpPr>
        <xdr:cNvPr id="9" name="Retângulo 8"/>
        <xdr:cNvSpPr/>
      </xdr:nvSpPr>
      <xdr:spPr>
        <a:xfrm>
          <a:off x="15920358" y="2530928"/>
          <a:ext cx="1581150" cy="670833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421822</xdr:colOff>
      <xdr:row>7</xdr:row>
      <xdr:rowOff>136071</xdr:rowOff>
    </xdr:from>
    <xdr:to>
      <xdr:col>20</xdr:col>
      <xdr:colOff>166008</xdr:colOff>
      <xdr:row>11</xdr:row>
      <xdr:rowOff>31297</xdr:rowOff>
    </xdr:to>
    <xdr:sp macro="[0]!_xludf.RANK" textlink="">
      <xdr:nvSpPr>
        <xdr:cNvPr id="2" name="Retângulo 1"/>
        <xdr:cNvSpPr/>
      </xdr:nvSpPr>
      <xdr:spPr>
        <a:xfrm>
          <a:off x="15899947" y="2517321"/>
          <a:ext cx="1572986" cy="666751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?from=EU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O94"/>
  <sheetViews>
    <sheetView showGridLines="0" zoomScaleNormal="100" workbookViewId="0">
      <selection activeCell="L27" sqref="L27"/>
    </sheetView>
  </sheetViews>
  <sheetFormatPr defaultRowHeight="15" x14ac:dyDescent="0.25"/>
  <cols>
    <col min="1" max="1" width="4.5703125" customWidth="1"/>
    <col min="2" max="2" width="8.85546875" customWidth="1"/>
    <col min="3" max="3" width="2" bestFit="1" customWidth="1"/>
    <col min="4" max="4" width="15" bestFit="1" customWidth="1"/>
    <col min="5" max="5" width="13.42578125" bestFit="1" customWidth="1"/>
    <col min="6" max="6" width="10.28515625" bestFit="1" customWidth="1"/>
    <col min="7" max="8" width="14.5703125" bestFit="1" customWidth="1"/>
    <col min="9" max="9" width="7.5703125" customWidth="1"/>
    <col min="12" max="12" width="16.140625" bestFit="1" customWidth="1"/>
    <col min="13" max="13" width="10.7109375" bestFit="1" customWidth="1"/>
  </cols>
  <sheetData>
    <row r="1" spans="2:15" ht="15.75" thickBot="1" x14ac:dyDescent="0.3"/>
    <row r="2" spans="2:15" ht="21.75" thickBot="1" x14ac:dyDescent="0.3">
      <c r="B2" s="293" t="s">
        <v>487</v>
      </c>
      <c r="C2" s="294"/>
      <c r="D2" s="294"/>
      <c r="E2" s="294"/>
      <c r="F2" s="294"/>
      <c r="G2" s="294"/>
      <c r="H2" s="294"/>
      <c r="I2" s="295"/>
    </row>
    <row r="3" spans="2:15" ht="15.75" thickBot="1" x14ac:dyDescent="0.3"/>
    <row r="4" spans="2:15" ht="18.75" x14ac:dyDescent="0.3">
      <c r="B4" s="296" t="s">
        <v>18</v>
      </c>
      <c r="C4" s="296"/>
      <c r="D4" s="296"/>
      <c r="E4" s="296"/>
      <c r="F4" s="296"/>
      <c r="G4" s="296"/>
      <c r="H4" s="296"/>
      <c r="I4" s="296"/>
      <c r="L4" s="4" t="s">
        <v>14</v>
      </c>
      <c r="M4" s="12">
        <f ca="1">TODAY()</f>
        <v>42001</v>
      </c>
    </row>
    <row r="5" spans="2:15" ht="15.75" thickBot="1" x14ac:dyDescent="0.3">
      <c r="L5" s="7" t="s">
        <v>15</v>
      </c>
      <c r="M5" s="13">
        <f ca="1">M4-WEEKDAY(M4,2)-6</f>
        <v>41988</v>
      </c>
    </row>
    <row r="6" spans="2:15" x14ac:dyDescent="0.25">
      <c r="C6" s="4" t="s">
        <v>0</v>
      </c>
      <c r="D6" s="5" t="s">
        <v>1</v>
      </c>
      <c r="E6" s="5" t="s">
        <v>8</v>
      </c>
      <c r="F6" s="5" t="s">
        <v>2</v>
      </c>
      <c r="G6" s="5" t="s">
        <v>3</v>
      </c>
      <c r="H6" s="6" t="s">
        <v>4</v>
      </c>
      <c r="L6" s="7" t="s">
        <v>16</v>
      </c>
      <c r="M6" s="13">
        <f ca="1">M4-WEEKDAY(M4,2)</f>
        <v>41994</v>
      </c>
    </row>
    <row r="7" spans="2:15" x14ac:dyDescent="0.25">
      <c r="C7" s="7">
        <v>1</v>
      </c>
      <c r="D7" s="3" t="s">
        <v>9</v>
      </c>
      <c r="E7" s="3">
        <v>1622</v>
      </c>
      <c r="F7" s="3">
        <v>1451</v>
      </c>
      <c r="G7" s="3">
        <v>1241</v>
      </c>
      <c r="H7" s="8">
        <v>764</v>
      </c>
      <c r="L7" s="9" t="s">
        <v>17</v>
      </c>
      <c r="M7" s="11">
        <f ca="1">WEEKNUM(M4,2)</f>
        <v>52</v>
      </c>
    </row>
    <row r="8" spans="2:15" x14ac:dyDescent="0.25">
      <c r="C8" s="7">
        <v>2</v>
      </c>
      <c r="D8" s="3" t="s">
        <v>10</v>
      </c>
      <c r="E8" s="3">
        <v>572</v>
      </c>
      <c r="F8" s="3">
        <v>515</v>
      </c>
      <c r="G8" s="3">
        <v>426</v>
      </c>
      <c r="H8" s="8">
        <v>264</v>
      </c>
    </row>
    <row r="9" spans="2:15" x14ac:dyDescent="0.25">
      <c r="C9" s="14">
        <v>3</v>
      </c>
      <c r="D9" s="15" t="s">
        <v>5</v>
      </c>
      <c r="E9" s="21">
        <f>E7/E8</f>
        <v>2.8356643356643358</v>
      </c>
      <c r="F9" s="21">
        <f>F7/F8</f>
        <v>2.81747572815534</v>
      </c>
      <c r="G9" s="21">
        <f>G7/G8</f>
        <v>2.9131455399061035</v>
      </c>
      <c r="H9" s="22">
        <f>H7/H8</f>
        <v>2.893939393939394</v>
      </c>
      <c r="N9" s="1"/>
      <c r="O9" s="1"/>
    </row>
    <row r="10" spans="2:15" x14ac:dyDescent="0.25">
      <c r="C10" s="7">
        <v>4</v>
      </c>
      <c r="D10" s="3" t="s">
        <v>6</v>
      </c>
      <c r="E10" s="3">
        <v>62</v>
      </c>
      <c r="F10" s="3">
        <v>56</v>
      </c>
      <c r="G10" s="3">
        <v>22</v>
      </c>
      <c r="H10" s="8">
        <v>21</v>
      </c>
      <c r="N10" s="1"/>
      <c r="O10" s="1"/>
    </row>
    <row r="11" spans="2:15" x14ac:dyDescent="0.25">
      <c r="C11" s="14">
        <v>5</v>
      </c>
      <c r="D11" s="15" t="s">
        <v>11</v>
      </c>
      <c r="E11" s="25">
        <f>E10/E8</f>
        <v>0.10839160839160839</v>
      </c>
      <c r="F11" s="25">
        <f>F10/F8</f>
        <v>0.1087378640776699</v>
      </c>
      <c r="G11" s="25">
        <f>G10/G8</f>
        <v>5.1643192488262914E-2</v>
      </c>
      <c r="H11" s="26">
        <f>H10/H8</f>
        <v>7.9545454545454544E-2</v>
      </c>
    </row>
    <row r="12" spans="2:15" x14ac:dyDescent="0.25">
      <c r="C12" s="7">
        <v>6</v>
      </c>
      <c r="D12" s="3" t="s">
        <v>12</v>
      </c>
      <c r="E12" s="3">
        <v>113</v>
      </c>
      <c r="F12" s="3">
        <v>104</v>
      </c>
      <c r="G12" s="3">
        <v>52</v>
      </c>
      <c r="H12" s="8">
        <v>39</v>
      </c>
    </row>
    <row r="13" spans="2:15" x14ac:dyDescent="0.25">
      <c r="C13" s="14">
        <v>7</v>
      </c>
      <c r="D13" s="15" t="s">
        <v>13</v>
      </c>
      <c r="E13" s="21">
        <f>E12/E10</f>
        <v>1.8225806451612903</v>
      </c>
      <c r="F13" s="21">
        <f>F12/F10</f>
        <v>1.8571428571428572</v>
      </c>
      <c r="G13" s="21">
        <f>G12/G10</f>
        <v>2.3636363636363638</v>
      </c>
      <c r="H13" s="22">
        <f>H12/H10</f>
        <v>1.8571428571428572</v>
      </c>
    </row>
    <row r="14" spans="2:15" x14ac:dyDescent="0.25">
      <c r="C14" s="9">
        <v>8</v>
      </c>
      <c r="D14" s="10" t="s">
        <v>7</v>
      </c>
      <c r="E14" s="10">
        <v>399</v>
      </c>
      <c r="F14" s="10">
        <v>635</v>
      </c>
      <c r="G14" s="10">
        <v>301</v>
      </c>
      <c r="H14" s="11">
        <v>272</v>
      </c>
    </row>
    <row r="16" spans="2:15" ht="18.75" x14ac:dyDescent="0.3">
      <c r="B16" s="296" t="s">
        <v>19</v>
      </c>
      <c r="C16" s="296"/>
      <c r="D16" s="296"/>
      <c r="E16" s="296"/>
      <c r="F16" s="296"/>
      <c r="G16" s="296"/>
      <c r="H16" s="296"/>
      <c r="I16" s="296"/>
    </row>
    <row r="17" spans="2:9" ht="15.75" thickBot="1" x14ac:dyDescent="0.3"/>
    <row r="18" spans="2:9" x14ac:dyDescent="0.25">
      <c r="C18" s="4" t="s">
        <v>0</v>
      </c>
      <c r="D18" s="5" t="s">
        <v>1</v>
      </c>
      <c r="E18" s="5" t="s">
        <v>8</v>
      </c>
      <c r="F18" s="5" t="s">
        <v>2</v>
      </c>
      <c r="G18" s="5" t="s">
        <v>3</v>
      </c>
      <c r="H18" s="6" t="s">
        <v>4</v>
      </c>
    </row>
    <row r="19" spans="2:9" x14ac:dyDescent="0.25">
      <c r="C19" s="7">
        <v>1</v>
      </c>
      <c r="D19" s="3" t="s">
        <v>9</v>
      </c>
      <c r="E19" s="3">
        <v>563</v>
      </c>
      <c r="F19" s="3">
        <v>388</v>
      </c>
      <c r="G19" s="3">
        <v>73</v>
      </c>
      <c r="H19" s="8">
        <v>13</v>
      </c>
    </row>
    <row r="20" spans="2:9" x14ac:dyDescent="0.25">
      <c r="C20" s="7">
        <v>2</v>
      </c>
      <c r="D20" s="3" t="s">
        <v>10</v>
      </c>
      <c r="E20" s="3">
        <v>170</v>
      </c>
      <c r="F20" s="3">
        <v>143</v>
      </c>
      <c r="G20" s="3">
        <v>26</v>
      </c>
      <c r="H20" s="8">
        <v>7</v>
      </c>
    </row>
    <row r="21" spans="2:9" x14ac:dyDescent="0.25">
      <c r="C21" s="14">
        <v>3</v>
      </c>
      <c r="D21" s="15" t="s">
        <v>5</v>
      </c>
      <c r="E21" s="21">
        <f>E19/E20</f>
        <v>3.3117647058823527</v>
      </c>
      <c r="F21" s="21">
        <f>F19/F20</f>
        <v>2.7132867132867133</v>
      </c>
      <c r="G21" s="21">
        <f>G19/G20</f>
        <v>2.8076923076923075</v>
      </c>
      <c r="H21" s="22">
        <f>H19/H20</f>
        <v>1.8571428571428572</v>
      </c>
    </row>
    <row r="22" spans="2:9" x14ac:dyDescent="0.25">
      <c r="C22" s="7">
        <v>4</v>
      </c>
      <c r="D22" s="3" t="s">
        <v>6</v>
      </c>
      <c r="E22" s="3">
        <v>36</v>
      </c>
      <c r="F22" s="3">
        <v>52</v>
      </c>
      <c r="G22" s="3">
        <v>6</v>
      </c>
      <c r="H22" s="8">
        <v>3</v>
      </c>
    </row>
    <row r="23" spans="2:9" x14ac:dyDescent="0.25">
      <c r="C23" s="14">
        <v>5</v>
      </c>
      <c r="D23" s="15" t="s">
        <v>11</v>
      </c>
      <c r="E23" s="25">
        <f>E22/E20</f>
        <v>0.21176470588235294</v>
      </c>
      <c r="F23" s="25">
        <f>F22/F20</f>
        <v>0.36363636363636365</v>
      </c>
      <c r="G23" s="25">
        <f>G22/G20</f>
        <v>0.23076923076923078</v>
      </c>
      <c r="H23" s="26">
        <f>H22/H20</f>
        <v>0.42857142857142855</v>
      </c>
    </row>
    <row r="24" spans="2:9" x14ac:dyDescent="0.25">
      <c r="C24" s="7">
        <v>6</v>
      </c>
      <c r="D24" s="3" t="s">
        <v>12</v>
      </c>
      <c r="E24" s="3">
        <v>137</v>
      </c>
      <c r="F24" s="3">
        <v>205</v>
      </c>
      <c r="G24" s="3">
        <v>15</v>
      </c>
      <c r="H24" s="8">
        <v>5</v>
      </c>
    </row>
    <row r="25" spans="2:9" x14ac:dyDescent="0.25">
      <c r="C25" s="19">
        <v>7</v>
      </c>
      <c r="D25" s="20" t="s">
        <v>13</v>
      </c>
      <c r="E25" s="23">
        <f>E24/E22</f>
        <v>3.8055555555555554</v>
      </c>
      <c r="F25" s="23">
        <f>F24/F22</f>
        <v>3.9423076923076925</v>
      </c>
      <c r="G25" s="23">
        <f>G24/G22</f>
        <v>2.5</v>
      </c>
      <c r="H25" s="24">
        <f>H24/H22</f>
        <v>1.6666666666666667</v>
      </c>
    </row>
    <row r="26" spans="2:9" x14ac:dyDescent="0.25">
      <c r="C26" s="16">
        <v>8</v>
      </c>
      <c r="D26" s="17" t="s">
        <v>7</v>
      </c>
      <c r="E26" s="17">
        <v>220</v>
      </c>
      <c r="F26" s="17">
        <v>395</v>
      </c>
      <c r="G26" s="17">
        <v>81</v>
      </c>
      <c r="H26" s="18">
        <v>28</v>
      </c>
    </row>
    <row r="28" spans="2:9" ht="18.75" x14ac:dyDescent="0.3">
      <c r="B28" s="296" t="s">
        <v>20</v>
      </c>
      <c r="C28" s="296"/>
      <c r="D28" s="296"/>
      <c r="E28" s="296"/>
      <c r="F28" s="296"/>
      <c r="G28" s="296"/>
      <c r="H28" s="296"/>
      <c r="I28" s="296"/>
    </row>
    <row r="29" spans="2:9" ht="15.75" thickBot="1" x14ac:dyDescent="0.3"/>
    <row r="30" spans="2:9" x14ac:dyDescent="0.25">
      <c r="C30" s="4" t="s">
        <v>0</v>
      </c>
      <c r="D30" s="5" t="s">
        <v>1</v>
      </c>
      <c r="E30" s="5" t="s">
        <v>8</v>
      </c>
      <c r="F30" s="5" t="s">
        <v>2</v>
      </c>
      <c r="G30" s="5" t="s">
        <v>3</v>
      </c>
      <c r="H30" s="6" t="s">
        <v>4</v>
      </c>
    </row>
    <row r="31" spans="2:9" x14ac:dyDescent="0.25">
      <c r="C31" s="7">
        <v>1</v>
      </c>
      <c r="D31" s="3" t="s">
        <v>9</v>
      </c>
      <c r="E31" s="3">
        <v>74</v>
      </c>
      <c r="F31" s="3">
        <v>61</v>
      </c>
      <c r="G31" s="3">
        <v>12</v>
      </c>
      <c r="H31" s="8">
        <v>0</v>
      </c>
    </row>
    <row r="32" spans="2:9" x14ac:dyDescent="0.25">
      <c r="C32" s="7">
        <v>2</v>
      </c>
      <c r="D32" s="3" t="s">
        <v>10</v>
      </c>
      <c r="E32" s="3">
        <v>24</v>
      </c>
      <c r="F32" s="3">
        <v>22</v>
      </c>
      <c r="G32" s="3">
        <v>6</v>
      </c>
      <c r="H32" s="8">
        <v>0</v>
      </c>
    </row>
    <row r="33" spans="3:8" x14ac:dyDescent="0.25">
      <c r="C33" s="14">
        <v>3</v>
      </c>
      <c r="D33" s="15" t="s">
        <v>5</v>
      </c>
      <c r="E33" s="21">
        <f>E31/E32</f>
        <v>3.0833333333333335</v>
      </c>
      <c r="F33" s="21">
        <f>F31/F32</f>
        <v>2.7727272727272729</v>
      </c>
      <c r="G33" s="21">
        <f>G31/G32</f>
        <v>2</v>
      </c>
      <c r="H33" s="22" t="e">
        <f>H31/H32</f>
        <v>#DIV/0!</v>
      </c>
    </row>
    <row r="34" spans="3:8" x14ac:dyDescent="0.25">
      <c r="C34" s="7">
        <v>4</v>
      </c>
      <c r="D34" s="3" t="s">
        <v>6</v>
      </c>
      <c r="E34" s="3">
        <v>4</v>
      </c>
      <c r="F34" s="3">
        <v>3</v>
      </c>
      <c r="G34" s="3">
        <v>3</v>
      </c>
      <c r="H34" s="8">
        <v>0</v>
      </c>
    </row>
    <row r="35" spans="3:8" x14ac:dyDescent="0.25">
      <c r="C35" s="14">
        <v>5</v>
      </c>
      <c r="D35" s="15" t="s">
        <v>11</v>
      </c>
      <c r="E35" s="25">
        <f>E34/E32</f>
        <v>0.16666666666666666</v>
      </c>
      <c r="F35" s="25">
        <f>F34/F32</f>
        <v>0.13636363636363635</v>
      </c>
      <c r="G35" s="25">
        <f>G34/G32</f>
        <v>0.5</v>
      </c>
      <c r="H35" s="26" t="e">
        <f>H34/H32</f>
        <v>#DIV/0!</v>
      </c>
    </row>
    <row r="36" spans="3:8" x14ac:dyDescent="0.25">
      <c r="C36" s="7">
        <v>6</v>
      </c>
      <c r="D36" s="3" t="s">
        <v>12</v>
      </c>
      <c r="E36" s="3">
        <v>8</v>
      </c>
      <c r="F36" s="3">
        <v>8</v>
      </c>
      <c r="G36" s="3">
        <v>9</v>
      </c>
      <c r="H36" s="8">
        <v>0</v>
      </c>
    </row>
    <row r="37" spans="3:8" x14ac:dyDescent="0.25">
      <c r="C37" s="19">
        <v>7</v>
      </c>
      <c r="D37" s="20" t="s">
        <v>13</v>
      </c>
      <c r="E37" s="23">
        <f>E36/E34</f>
        <v>2</v>
      </c>
      <c r="F37" s="23">
        <f>F36/F34</f>
        <v>2.6666666666666665</v>
      </c>
      <c r="G37" s="23">
        <f>G36/G34</f>
        <v>3</v>
      </c>
      <c r="H37" s="24" t="e">
        <f>H36/H34</f>
        <v>#DIV/0!</v>
      </c>
    </row>
    <row r="38" spans="3:8" x14ac:dyDescent="0.25">
      <c r="C38" s="16">
        <v>8</v>
      </c>
      <c r="D38" s="17" t="s">
        <v>7</v>
      </c>
      <c r="E38" s="17">
        <v>43</v>
      </c>
      <c r="F38" s="17">
        <v>32</v>
      </c>
      <c r="G38" s="17">
        <v>44</v>
      </c>
      <c r="H38" s="18">
        <v>0</v>
      </c>
    </row>
    <row r="40" spans="3:8" x14ac:dyDescent="0.25">
      <c r="C40" s="2"/>
    </row>
    <row r="41" spans="3:8" x14ac:dyDescent="0.25">
      <c r="C41" s="2"/>
    </row>
    <row r="92" spans="3:3" x14ac:dyDescent="0.25">
      <c r="C92" s="2"/>
    </row>
    <row r="93" spans="3:3" x14ac:dyDescent="0.25">
      <c r="C93" s="2"/>
    </row>
    <row r="94" spans="3:3" x14ac:dyDescent="0.25">
      <c r="C94" s="2"/>
    </row>
  </sheetData>
  <mergeCells count="4">
    <mergeCell ref="B2:I2"/>
    <mergeCell ref="B4:I4"/>
    <mergeCell ref="B16:I16"/>
    <mergeCell ref="B28:I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1:W46"/>
  <sheetViews>
    <sheetView showGridLines="0" topLeftCell="A3" zoomScaleNormal="100" workbookViewId="0">
      <selection activeCell="B7" sqref="B7"/>
    </sheetView>
  </sheetViews>
  <sheetFormatPr defaultRowHeight="15" x14ac:dyDescent="0.25"/>
  <cols>
    <col min="2" max="2" width="13.85546875" bestFit="1" customWidth="1"/>
    <col min="3" max="3" width="9.28515625" customWidth="1"/>
    <col min="4" max="4" width="8.7109375" customWidth="1"/>
    <col min="5" max="5" width="9.5703125" customWidth="1"/>
    <col min="6" max="6" width="1" style="35" customWidth="1"/>
    <col min="7" max="7" width="8.42578125" customWidth="1"/>
    <col min="8" max="8" width="8.140625" customWidth="1"/>
    <col min="9" max="9" width="7.85546875" customWidth="1"/>
    <col min="10" max="10" width="8.42578125" customWidth="1"/>
    <col min="11" max="11" width="8.140625" customWidth="1"/>
    <col min="12" max="12" width="8.42578125" customWidth="1"/>
    <col min="13" max="13" width="0.85546875" customWidth="1"/>
    <col min="14" max="14" width="12" customWidth="1"/>
    <col min="15" max="15" width="14.28515625" customWidth="1"/>
  </cols>
  <sheetData>
    <row r="1" spans="2:23" ht="15.75" thickBot="1" x14ac:dyDescent="0.3"/>
    <row r="2" spans="2:23" ht="15.75" thickBot="1" x14ac:dyDescent="0.3">
      <c r="B2" s="54" t="s">
        <v>21</v>
      </c>
      <c r="C2" s="55">
        <f ca="1">TODAY()</f>
        <v>42001</v>
      </c>
      <c r="D2" s="27"/>
      <c r="E2" s="27"/>
      <c r="G2" s="27"/>
      <c r="H2" s="27"/>
      <c r="I2" s="27"/>
      <c r="J2" s="27"/>
      <c r="K2" s="27"/>
    </row>
    <row r="3" spans="2:23" ht="18.75" customHeight="1" thickBot="1" x14ac:dyDescent="0.3">
      <c r="D3" s="27"/>
      <c r="E3" s="27"/>
      <c r="G3" s="27"/>
      <c r="H3" s="27"/>
      <c r="I3" s="27"/>
      <c r="J3" s="27"/>
      <c r="K3" s="27"/>
    </row>
    <row r="4" spans="2:23" ht="16.5" thickBot="1" x14ac:dyDescent="0.3">
      <c r="B4" s="51"/>
      <c r="C4" s="51"/>
      <c r="D4" s="51"/>
      <c r="E4" s="51"/>
      <c r="G4" s="302" t="s">
        <v>53</v>
      </c>
      <c r="H4" s="303"/>
      <c r="I4" s="303"/>
      <c r="J4" s="303"/>
      <c r="K4" s="303"/>
      <c r="L4" s="304"/>
      <c r="M4" s="27"/>
      <c r="N4" s="302" t="s">
        <v>54</v>
      </c>
      <c r="O4" s="304"/>
    </row>
    <row r="5" spans="2:23" ht="36.75" thickBot="1" x14ac:dyDescent="0.3">
      <c r="B5" s="63"/>
      <c r="C5" s="64" t="s">
        <v>22</v>
      </c>
      <c r="D5" s="64" t="s">
        <v>23</v>
      </c>
      <c r="E5" s="65" t="s">
        <v>30</v>
      </c>
      <c r="G5" s="69" t="s">
        <v>24</v>
      </c>
      <c r="H5" s="70" t="s">
        <v>27</v>
      </c>
      <c r="I5" s="70" t="s">
        <v>25</v>
      </c>
      <c r="J5" s="71" t="s">
        <v>28</v>
      </c>
      <c r="K5" s="70" t="s">
        <v>26</v>
      </c>
      <c r="L5" s="72" t="s">
        <v>29</v>
      </c>
      <c r="N5" s="61" t="s">
        <v>28</v>
      </c>
      <c r="O5" s="62" t="s">
        <v>29</v>
      </c>
    </row>
    <row r="6" spans="2:23" x14ac:dyDescent="0.25">
      <c r="B6" s="48" t="s">
        <v>18</v>
      </c>
      <c r="C6" s="49"/>
      <c r="D6" s="49"/>
      <c r="E6" s="50"/>
      <c r="G6" s="48"/>
      <c r="H6" s="49"/>
      <c r="I6" s="49"/>
      <c r="J6" s="49"/>
      <c r="K6" s="49"/>
      <c r="L6" s="50"/>
      <c r="N6" s="297" t="s">
        <v>18</v>
      </c>
      <c r="O6" s="299"/>
      <c r="P6" s="35"/>
      <c r="Q6" s="35"/>
      <c r="R6" s="35"/>
      <c r="S6" s="35"/>
      <c r="T6" s="35"/>
      <c r="U6" s="35"/>
      <c r="V6" s="35"/>
      <c r="W6" s="35"/>
    </row>
    <row r="7" spans="2:23" x14ac:dyDescent="0.25">
      <c r="B7" s="28">
        <v>41649</v>
      </c>
      <c r="C7" s="29">
        <v>24</v>
      </c>
      <c r="D7" s="29">
        <v>11</v>
      </c>
      <c r="E7" s="33">
        <v>4</v>
      </c>
      <c r="G7" s="52">
        <v>34</v>
      </c>
      <c r="H7" s="30">
        <v>4</v>
      </c>
      <c r="I7" s="29">
        <v>38</v>
      </c>
      <c r="J7" s="29">
        <v>3</v>
      </c>
      <c r="K7" s="29">
        <v>102</v>
      </c>
      <c r="L7" s="33">
        <v>6</v>
      </c>
      <c r="N7" s="7">
        <v>2</v>
      </c>
      <c r="O7" s="8">
        <v>3</v>
      </c>
    </row>
    <row r="8" spans="2:23" x14ac:dyDescent="0.25">
      <c r="B8" s="28">
        <v>41906</v>
      </c>
      <c r="C8" s="29">
        <v>35</v>
      </c>
      <c r="D8" s="29">
        <v>12</v>
      </c>
      <c r="E8" s="33">
        <v>15</v>
      </c>
      <c r="G8" s="52">
        <v>33</v>
      </c>
      <c r="H8" s="30">
        <v>11</v>
      </c>
      <c r="I8" s="29">
        <v>43</v>
      </c>
      <c r="J8" s="29">
        <v>16</v>
      </c>
      <c r="K8" s="29">
        <v>95</v>
      </c>
      <c r="L8" s="33">
        <v>31</v>
      </c>
      <c r="N8" s="7">
        <v>1</v>
      </c>
      <c r="O8" s="8">
        <v>1</v>
      </c>
    </row>
    <row r="9" spans="2:23" x14ac:dyDescent="0.25">
      <c r="B9" s="28">
        <v>41885</v>
      </c>
      <c r="C9" s="29">
        <v>14</v>
      </c>
      <c r="D9" s="29">
        <v>2</v>
      </c>
      <c r="E9" s="33">
        <v>2</v>
      </c>
      <c r="G9" s="52">
        <v>23</v>
      </c>
      <c r="H9" s="30">
        <v>2</v>
      </c>
      <c r="I9" s="29">
        <v>25</v>
      </c>
      <c r="J9" s="29">
        <v>2</v>
      </c>
      <c r="K9" s="29">
        <v>79</v>
      </c>
      <c r="L9" s="33">
        <v>3</v>
      </c>
      <c r="N9" s="7">
        <v>0</v>
      </c>
      <c r="O9" s="8">
        <v>0</v>
      </c>
    </row>
    <row r="10" spans="2:23" x14ac:dyDescent="0.25">
      <c r="B10" s="48" t="s">
        <v>19</v>
      </c>
      <c r="C10" s="49"/>
      <c r="D10" s="49"/>
      <c r="E10" s="50"/>
      <c r="G10" s="48"/>
      <c r="H10" s="49"/>
      <c r="I10" s="49"/>
      <c r="J10" s="49"/>
      <c r="K10" s="49"/>
      <c r="L10" s="50"/>
      <c r="N10" s="305" t="s">
        <v>19</v>
      </c>
      <c r="O10" s="306"/>
    </row>
    <row r="11" spans="2:23" x14ac:dyDescent="0.25">
      <c r="B11" s="28">
        <v>41649</v>
      </c>
      <c r="C11" s="29">
        <v>12</v>
      </c>
      <c r="D11" s="29">
        <v>7</v>
      </c>
      <c r="E11" s="33">
        <v>4</v>
      </c>
      <c r="G11" s="52">
        <v>14</v>
      </c>
      <c r="H11" s="30">
        <v>6</v>
      </c>
      <c r="I11" s="29">
        <v>18</v>
      </c>
      <c r="J11" s="29">
        <v>7</v>
      </c>
      <c r="K11" s="29">
        <v>44</v>
      </c>
      <c r="L11" s="33">
        <v>26</v>
      </c>
      <c r="N11" s="7">
        <v>2</v>
      </c>
      <c r="O11" s="8">
        <v>10</v>
      </c>
    </row>
    <row r="12" spans="2:23" x14ac:dyDescent="0.25">
      <c r="B12" s="28">
        <v>41906</v>
      </c>
      <c r="C12" s="29">
        <v>25</v>
      </c>
      <c r="D12" s="29">
        <v>2</v>
      </c>
      <c r="E12" s="33">
        <v>1</v>
      </c>
      <c r="G12" s="52">
        <v>8</v>
      </c>
      <c r="H12" s="30">
        <v>1</v>
      </c>
      <c r="I12" s="29">
        <v>11</v>
      </c>
      <c r="J12" s="29">
        <v>1</v>
      </c>
      <c r="K12" s="29">
        <v>35</v>
      </c>
      <c r="L12" s="33">
        <v>2</v>
      </c>
      <c r="N12" s="7">
        <v>0</v>
      </c>
      <c r="O12" s="8">
        <v>0</v>
      </c>
    </row>
    <row r="13" spans="2:23" x14ac:dyDescent="0.25">
      <c r="B13" s="28">
        <v>41885</v>
      </c>
      <c r="C13" s="29">
        <v>2</v>
      </c>
      <c r="D13" s="29">
        <v>2</v>
      </c>
      <c r="E13" s="33">
        <v>3</v>
      </c>
      <c r="G13" s="52">
        <v>6</v>
      </c>
      <c r="H13" s="30">
        <v>2</v>
      </c>
      <c r="I13" s="29">
        <v>6</v>
      </c>
      <c r="J13" s="29">
        <v>3</v>
      </c>
      <c r="K13" s="29">
        <v>13</v>
      </c>
      <c r="L13" s="33">
        <v>4</v>
      </c>
      <c r="N13" s="7">
        <v>0</v>
      </c>
      <c r="O13" s="8">
        <v>0</v>
      </c>
    </row>
    <row r="14" spans="2:23" x14ac:dyDescent="0.25">
      <c r="B14" s="48" t="s">
        <v>20</v>
      </c>
      <c r="C14" s="49"/>
      <c r="D14" s="49"/>
      <c r="E14" s="50"/>
      <c r="G14" s="48"/>
      <c r="H14" s="49"/>
      <c r="I14" s="49"/>
      <c r="J14" s="49"/>
      <c r="K14" s="49"/>
      <c r="L14" s="50"/>
      <c r="N14" s="305" t="s">
        <v>20</v>
      </c>
      <c r="O14" s="306"/>
    </row>
    <row r="15" spans="2:23" x14ac:dyDescent="0.25">
      <c r="B15" s="28">
        <v>41649</v>
      </c>
      <c r="C15" s="29">
        <v>2</v>
      </c>
      <c r="D15" s="29">
        <v>2</v>
      </c>
      <c r="E15" s="33">
        <v>0</v>
      </c>
      <c r="G15" s="52">
        <v>4</v>
      </c>
      <c r="H15" s="29">
        <v>0</v>
      </c>
      <c r="I15" s="29">
        <v>4</v>
      </c>
      <c r="J15" s="29">
        <v>0</v>
      </c>
      <c r="K15" s="30">
        <v>15</v>
      </c>
      <c r="L15" s="33">
        <v>0</v>
      </c>
      <c r="N15" s="7">
        <v>0</v>
      </c>
      <c r="O15" s="8">
        <v>0</v>
      </c>
    </row>
    <row r="16" spans="2:23" x14ac:dyDescent="0.25">
      <c r="B16" s="28">
        <v>41906</v>
      </c>
      <c r="C16" s="29">
        <v>5</v>
      </c>
      <c r="D16" s="29">
        <v>0</v>
      </c>
      <c r="E16" s="33">
        <v>0</v>
      </c>
      <c r="G16" s="52">
        <v>2</v>
      </c>
      <c r="H16" s="29">
        <v>0</v>
      </c>
      <c r="I16" s="29">
        <v>2</v>
      </c>
      <c r="J16" s="29">
        <v>0</v>
      </c>
      <c r="K16" s="30">
        <v>8</v>
      </c>
      <c r="L16" s="33">
        <v>0</v>
      </c>
      <c r="N16" s="7">
        <v>0</v>
      </c>
      <c r="O16" s="8">
        <v>0</v>
      </c>
    </row>
    <row r="17" spans="2:15" x14ac:dyDescent="0.25">
      <c r="B17" s="28">
        <v>41885</v>
      </c>
      <c r="C17" s="29">
        <v>10</v>
      </c>
      <c r="D17" s="29">
        <v>0</v>
      </c>
      <c r="E17" s="33">
        <v>9</v>
      </c>
      <c r="G17" s="52">
        <v>2</v>
      </c>
      <c r="H17" s="29">
        <v>0</v>
      </c>
      <c r="I17" s="29">
        <v>4</v>
      </c>
      <c r="J17" s="29">
        <v>3</v>
      </c>
      <c r="K17" s="30">
        <v>6</v>
      </c>
      <c r="L17" s="33">
        <v>10</v>
      </c>
      <c r="N17" s="7">
        <v>0</v>
      </c>
      <c r="O17" s="8">
        <v>3</v>
      </c>
    </row>
    <row r="18" spans="2:15" x14ac:dyDescent="0.25">
      <c r="B18" s="48" t="s">
        <v>52</v>
      </c>
      <c r="C18" s="49"/>
      <c r="D18" s="49"/>
      <c r="E18" s="50"/>
      <c r="G18" s="48"/>
      <c r="H18" s="49"/>
      <c r="I18" s="49"/>
      <c r="J18" s="49"/>
      <c r="K18" s="49"/>
      <c r="L18" s="50"/>
      <c r="N18" s="305" t="s">
        <v>52</v>
      </c>
      <c r="O18" s="306"/>
    </row>
    <row r="19" spans="2:15" x14ac:dyDescent="0.25">
      <c r="B19" s="28">
        <v>41649</v>
      </c>
      <c r="C19" s="29">
        <v>3</v>
      </c>
      <c r="D19" s="29">
        <v>0</v>
      </c>
      <c r="E19" s="33">
        <v>0</v>
      </c>
      <c r="G19" s="52">
        <v>2</v>
      </c>
      <c r="H19" s="29">
        <v>0</v>
      </c>
      <c r="I19" s="29">
        <v>5</v>
      </c>
      <c r="J19" s="29">
        <v>0</v>
      </c>
      <c r="K19" s="30">
        <v>15</v>
      </c>
      <c r="L19" s="33">
        <v>0</v>
      </c>
      <c r="N19" s="7">
        <v>0</v>
      </c>
      <c r="O19" s="8">
        <v>0</v>
      </c>
    </row>
    <row r="20" spans="2:15" x14ac:dyDescent="0.25">
      <c r="B20" s="28">
        <v>41906</v>
      </c>
      <c r="C20" s="29">
        <v>0</v>
      </c>
      <c r="D20" s="29">
        <v>1</v>
      </c>
      <c r="E20" s="33">
        <v>0</v>
      </c>
      <c r="G20" s="52">
        <v>3</v>
      </c>
      <c r="H20" s="29">
        <v>0</v>
      </c>
      <c r="I20" s="29">
        <v>4</v>
      </c>
      <c r="J20" s="29">
        <v>0</v>
      </c>
      <c r="K20" s="30">
        <v>12</v>
      </c>
      <c r="L20" s="33">
        <v>0</v>
      </c>
      <c r="N20" s="7">
        <v>0</v>
      </c>
      <c r="O20" s="8">
        <v>0</v>
      </c>
    </row>
    <row r="21" spans="2:15" ht="15.75" thickBot="1" x14ac:dyDescent="0.3">
      <c r="B21" s="28">
        <v>41885</v>
      </c>
      <c r="C21" s="31">
        <v>0</v>
      </c>
      <c r="D21" s="31">
        <v>0</v>
      </c>
      <c r="E21" s="34">
        <v>0</v>
      </c>
      <c r="G21" s="53">
        <v>0</v>
      </c>
      <c r="H21" s="31">
        <v>0</v>
      </c>
      <c r="I21" s="31">
        <v>0</v>
      </c>
      <c r="J21" s="31">
        <v>0</v>
      </c>
      <c r="K21" s="32">
        <v>0</v>
      </c>
      <c r="L21" s="34">
        <v>0</v>
      </c>
      <c r="N21" s="9">
        <v>0</v>
      </c>
      <c r="O21" s="11">
        <v>0</v>
      </c>
    </row>
    <row r="22" spans="2:15" s="35" customFormat="1" x14ac:dyDescent="0.25">
      <c r="B22" s="297" t="s">
        <v>468</v>
      </c>
      <c r="C22" s="298"/>
      <c r="D22" s="298"/>
      <c r="E22" s="299"/>
      <c r="G22" s="155"/>
      <c r="H22" s="156"/>
      <c r="I22" s="156"/>
      <c r="J22" s="156"/>
      <c r="K22" s="156"/>
      <c r="L22" s="157"/>
      <c r="N22" s="305" t="s">
        <v>468</v>
      </c>
      <c r="O22" s="306"/>
    </row>
    <row r="23" spans="2:15" s="35" customFormat="1" x14ac:dyDescent="0.25">
      <c r="B23" s="28">
        <v>41649</v>
      </c>
      <c r="C23" s="29">
        <v>2</v>
      </c>
      <c r="D23" s="29">
        <v>0</v>
      </c>
      <c r="E23" s="33">
        <v>0</v>
      </c>
      <c r="G23" s="52">
        <v>0</v>
      </c>
      <c r="H23" s="29">
        <v>0</v>
      </c>
      <c r="I23" s="29">
        <v>0</v>
      </c>
      <c r="J23" s="29">
        <v>0</v>
      </c>
      <c r="K23" s="30">
        <v>0</v>
      </c>
      <c r="L23" s="33">
        <v>0</v>
      </c>
      <c r="N23" s="158">
        <v>0</v>
      </c>
      <c r="O23" s="8">
        <v>0</v>
      </c>
    </row>
    <row r="24" spans="2:15" s="35" customFormat="1" x14ac:dyDescent="0.25">
      <c r="B24" s="28">
        <v>41906</v>
      </c>
      <c r="C24" s="29">
        <v>0</v>
      </c>
      <c r="D24" s="29">
        <v>0</v>
      </c>
      <c r="E24" s="33">
        <v>0</v>
      </c>
      <c r="G24" s="52">
        <v>1</v>
      </c>
      <c r="H24" s="29">
        <v>0</v>
      </c>
      <c r="I24" s="29">
        <v>1</v>
      </c>
      <c r="J24" s="29">
        <v>0</v>
      </c>
      <c r="K24" s="30">
        <v>2</v>
      </c>
      <c r="L24" s="33">
        <v>0</v>
      </c>
      <c r="N24" s="158">
        <v>0</v>
      </c>
      <c r="O24" s="8">
        <v>0</v>
      </c>
    </row>
    <row r="25" spans="2:15" s="35" customFormat="1" ht="15.75" thickBot="1" x14ac:dyDescent="0.3">
      <c r="B25" s="28">
        <v>41885</v>
      </c>
      <c r="C25" s="31">
        <v>0</v>
      </c>
      <c r="D25" s="31">
        <v>0</v>
      </c>
      <c r="E25" s="34">
        <v>0</v>
      </c>
      <c r="G25" s="53">
        <v>0</v>
      </c>
      <c r="H25" s="31">
        <v>0</v>
      </c>
      <c r="I25" s="31">
        <v>0</v>
      </c>
      <c r="J25" s="31">
        <v>0</v>
      </c>
      <c r="K25" s="32">
        <v>0</v>
      </c>
      <c r="L25" s="34">
        <v>0</v>
      </c>
      <c r="N25" s="159">
        <v>0</v>
      </c>
      <c r="O25" s="11">
        <v>0</v>
      </c>
    </row>
    <row r="26" spans="2:15" s="35" customFormat="1" x14ac:dyDescent="0.25">
      <c r="B26" s="297" t="s">
        <v>469</v>
      </c>
      <c r="C26" s="298"/>
      <c r="D26" s="298"/>
      <c r="E26" s="299"/>
      <c r="G26" s="155"/>
      <c r="H26" s="156"/>
      <c r="I26" s="156"/>
      <c r="J26" s="156"/>
      <c r="K26" s="156"/>
      <c r="L26" s="157"/>
      <c r="N26" s="305" t="s">
        <v>469</v>
      </c>
      <c r="O26" s="306"/>
    </row>
    <row r="27" spans="2:15" s="35" customFormat="1" x14ac:dyDescent="0.25">
      <c r="B27" s="28">
        <v>41649</v>
      </c>
      <c r="C27" s="29">
        <v>12</v>
      </c>
      <c r="D27" s="29">
        <v>5</v>
      </c>
      <c r="E27" s="33">
        <v>1</v>
      </c>
      <c r="G27" s="52">
        <v>6</v>
      </c>
      <c r="H27" s="29">
        <v>1</v>
      </c>
      <c r="I27" s="29">
        <v>9</v>
      </c>
      <c r="J27" s="29">
        <v>1</v>
      </c>
      <c r="K27" s="30">
        <v>24</v>
      </c>
      <c r="L27" s="33">
        <v>2</v>
      </c>
      <c r="N27" s="158">
        <v>0</v>
      </c>
      <c r="O27" s="8">
        <v>0</v>
      </c>
    </row>
    <row r="28" spans="2:15" s="35" customFormat="1" x14ac:dyDescent="0.25">
      <c r="B28" s="28">
        <v>41906</v>
      </c>
      <c r="C28" s="29">
        <v>3</v>
      </c>
      <c r="D28" s="29">
        <v>0</v>
      </c>
      <c r="E28" s="33">
        <v>0</v>
      </c>
      <c r="G28" s="52">
        <v>1</v>
      </c>
      <c r="H28" s="29">
        <v>0</v>
      </c>
      <c r="I28" s="29">
        <v>1</v>
      </c>
      <c r="J28" s="29">
        <v>0</v>
      </c>
      <c r="K28" s="30">
        <v>1</v>
      </c>
      <c r="L28" s="33">
        <v>0</v>
      </c>
      <c r="N28" s="158">
        <v>0</v>
      </c>
      <c r="O28" s="8">
        <v>0</v>
      </c>
    </row>
    <row r="29" spans="2:15" s="35" customFormat="1" ht="15.75" thickBot="1" x14ac:dyDescent="0.3">
      <c r="B29" s="28">
        <v>41885</v>
      </c>
      <c r="C29" s="31">
        <v>0</v>
      </c>
      <c r="D29" s="31">
        <v>0</v>
      </c>
      <c r="E29" s="34">
        <v>0</v>
      </c>
      <c r="G29" s="53">
        <v>0</v>
      </c>
      <c r="H29" s="31">
        <v>0</v>
      </c>
      <c r="I29" s="31">
        <v>0</v>
      </c>
      <c r="J29" s="31">
        <v>0</v>
      </c>
      <c r="K29" s="32">
        <v>0</v>
      </c>
      <c r="L29" s="34">
        <v>0</v>
      </c>
      <c r="N29" s="159">
        <v>0</v>
      </c>
      <c r="O29" s="11">
        <v>0</v>
      </c>
    </row>
    <row r="30" spans="2:15" s="35" customFormat="1" ht="15.75" thickBot="1" x14ac:dyDescent="0.3">
      <c r="B30" s="184" t="s">
        <v>65</v>
      </c>
      <c r="C30" s="185"/>
      <c r="D30" s="185"/>
      <c r="E30" s="186"/>
      <c r="F30" s="179"/>
      <c r="G30" s="184"/>
      <c r="H30" s="185"/>
      <c r="I30" s="185"/>
      <c r="J30" s="185"/>
      <c r="K30" s="185"/>
      <c r="L30" s="186"/>
      <c r="M30" s="179"/>
      <c r="N30" s="300" t="s">
        <v>65</v>
      </c>
      <c r="O30" s="301"/>
    </row>
    <row r="31" spans="2:15" s="35" customFormat="1" x14ac:dyDescent="0.25">
      <c r="B31" s="187">
        <v>41649</v>
      </c>
      <c r="C31" s="188">
        <f>C27+C23+C19+C15+C11+C7</f>
        <v>55</v>
      </c>
      <c r="D31" s="188">
        <f t="shared" ref="D31:O31" si="0">D27+D23+D19+D15+D11+D7</f>
        <v>25</v>
      </c>
      <c r="E31" s="189">
        <f t="shared" si="0"/>
        <v>9</v>
      </c>
      <c r="F31" s="179"/>
      <c r="G31" s="190">
        <f t="shared" si="0"/>
        <v>60</v>
      </c>
      <c r="H31" s="188">
        <f t="shared" si="0"/>
        <v>11</v>
      </c>
      <c r="I31" s="188">
        <f t="shared" si="0"/>
        <v>74</v>
      </c>
      <c r="J31" s="188">
        <f t="shared" si="0"/>
        <v>11</v>
      </c>
      <c r="K31" s="188">
        <f t="shared" si="0"/>
        <v>200</v>
      </c>
      <c r="L31" s="189">
        <f t="shared" si="0"/>
        <v>34</v>
      </c>
      <c r="M31" s="179"/>
      <c r="N31" s="190">
        <f t="shared" si="0"/>
        <v>4</v>
      </c>
      <c r="O31" s="189">
        <f t="shared" si="0"/>
        <v>13</v>
      </c>
    </row>
    <row r="32" spans="2:15" s="35" customFormat="1" x14ac:dyDescent="0.25">
      <c r="B32" s="28">
        <v>41906</v>
      </c>
      <c r="C32" s="29">
        <f t="shared" ref="C32:O32" si="1">C28+C24+C20+C16+C12+C8</f>
        <v>68</v>
      </c>
      <c r="D32" s="29">
        <f t="shared" si="1"/>
        <v>15</v>
      </c>
      <c r="E32" s="33">
        <f t="shared" si="1"/>
        <v>16</v>
      </c>
      <c r="F32" s="179"/>
      <c r="G32" s="52">
        <f t="shared" si="1"/>
        <v>48</v>
      </c>
      <c r="H32" s="29">
        <f t="shared" si="1"/>
        <v>12</v>
      </c>
      <c r="I32" s="29">
        <f t="shared" si="1"/>
        <v>62</v>
      </c>
      <c r="J32" s="29">
        <f t="shared" si="1"/>
        <v>17</v>
      </c>
      <c r="K32" s="29">
        <f t="shared" si="1"/>
        <v>153</v>
      </c>
      <c r="L32" s="33">
        <f t="shared" si="1"/>
        <v>33</v>
      </c>
      <c r="M32" s="179"/>
      <c r="N32" s="52">
        <f t="shared" si="1"/>
        <v>1</v>
      </c>
      <c r="O32" s="33">
        <f t="shared" si="1"/>
        <v>1</v>
      </c>
    </row>
    <row r="33" spans="2:15" s="35" customFormat="1" ht="15.75" thickBot="1" x14ac:dyDescent="0.3">
      <c r="B33" s="183">
        <v>41885</v>
      </c>
      <c r="C33" s="31">
        <f t="shared" ref="C33:O33" si="2">C29+C25+C21+C17+C13+C9</f>
        <v>26</v>
      </c>
      <c r="D33" s="31">
        <f t="shared" si="2"/>
        <v>4</v>
      </c>
      <c r="E33" s="34">
        <f t="shared" si="2"/>
        <v>14</v>
      </c>
      <c r="F33" s="179"/>
      <c r="G33" s="53">
        <f t="shared" si="2"/>
        <v>31</v>
      </c>
      <c r="H33" s="31">
        <f t="shared" si="2"/>
        <v>4</v>
      </c>
      <c r="I33" s="31">
        <f t="shared" si="2"/>
        <v>35</v>
      </c>
      <c r="J33" s="31">
        <f t="shared" si="2"/>
        <v>8</v>
      </c>
      <c r="K33" s="31">
        <f t="shared" si="2"/>
        <v>98</v>
      </c>
      <c r="L33" s="34">
        <f t="shared" si="2"/>
        <v>17</v>
      </c>
      <c r="M33" s="179"/>
      <c r="N33" s="53">
        <f t="shared" si="2"/>
        <v>0</v>
      </c>
      <c r="O33" s="34">
        <f t="shared" si="2"/>
        <v>3</v>
      </c>
    </row>
    <row r="34" spans="2:15" ht="15.75" thickBot="1" x14ac:dyDescent="0.3">
      <c r="B34" s="27"/>
      <c r="C34" s="27"/>
      <c r="D34" s="27"/>
      <c r="E34" s="27"/>
      <c r="G34" s="27"/>
      <c r="H34" s="27"/>
      <c r="I34" s="27"/>
      <c r="J34" s="27"/>
      <c r="K34" s="27"/>
      <c r="M34" s="179"/>
    </row>
    <row r="35" spans="2:15" x14ac:dyDescent="0.25">
      <c r="B35" s="66" t="s">
        <v>22</v>
      </c>
      <c r="C35" s="75" t="s">
        <v>61</v>
      </c>
      <c r="D35" s="76"/>
      <c r="E35" s="76"/>
      <c r="F35" s="76"/>
      <c r="G35" s="76"/>
      <c r="H35" s="76"/>
      <c r="I35" s="76"/>
      <c r="J35" s="77"/>
      <c r="K35" s="35"/>
    </row>
    <row r="36" spans="2:15" x14ac:dyDescent="0.25">
      <c r="B36" s="67" t="s">
        <v>23</v>
      </c>
      <c r="C36" s="78" t="s">
        <v>58</v>
      </c>
      <c r="D36" s="79"/>
      <c r="E36" s="79"/>
      <c r="F36" s="79"/>
      <c r="G36" s="79"/>
      <c r="H36" s="79"/>
      <c r="I36" s="79"/>
      <c r="J36" s="80"/>
      <c r="K36" s="35"/>
    </row>
    <row r="37" spans="2:15" x14ac:dyDescent="0.25">
      <c r="B37" s="67" t="s">
        <v>30</v>
      </c>
      <c r="C37" s="78" t="s">
        <v>59</v>
      </c>
      <c r="D37" s="79"/>
      <c r="E37" s="79"/>
      <c r="F37" s="79"/>
      <c r="G37" s="79"/>
      <c r="H37" s="79"/>
      <c r="I37" s="79"/>
      <c r="J37" s="80"/>
      <c r="K37" s="35"/>
    </row>
    <row r="38" spans="2:15" x14ac:dyDescent="0.25">
      <c r="B38" s="68" t="s">
        <v>24</v>
      </c>
      <c r="C38" s="78" t="s">
        <v>62</v>
      </c>
      <c r="D38" s="79"/>
      <c r="E38" s="79"/>
      <c r="F38" s="79"/>
      <c r="G38" s="79"/>
      <c r="H38" s="79"/>
      <c r="I38" s="79"/>
      <c r="J38" s="80"/>
      <c r="K38" s="35"/>
    </row>
    <row r="39" spans="2:15" x14ac:dyDescent="0.25">
      <c r="B39" s="68" t="s">
        <v>27</v>
      </c>
      <c r="C39" s="78" t="s">
        <v>67</v>
      </c>
      <c r="D39" s="79"/>
      <c r="E39" s="79"/>
      <c r="F39" s="79"/>
      <c r="G39" s="79"/>
      <c r="H39" s="79"/>
      <c r="I39" s="79"/>
      <c r="J39" s="80"/>
      <c r="K39" s="35"/>
    </row>
    <row r="40" spans="2:15" x14ac:dyDescent="0.25">
      <c r="B40" s="68" t="s">
        <v>25</v>
      </c>
      <c r="C40" s="78" t="s">
        <v>66</v>
      </c>
      <c r="D40" s="79"/>
      <c r="E40" s="79"/>
      <c r="F40" s="79"/>
      <c r="G40" s="79"/>
      <c r="H40" s="79"/>
      <c r="I40" s="79"/>
      <c r="J40" s="80"/>
      <c r="K40" s="35"/>
    </row>
    <row r="41" spans="2:15" x14ac:dyDescent="0.25">
      <c r="B41" s="68" t="s">
        <v>28</v>
      </c>
      <c r="C41" s="78" t="s">
        <v>63</v>
      </c>
      <c r="D41" s="79"/>
      <c r="E41" s="79"/>
      <c r="F41" s="79"/>
      <c r="G41" s="79"/>
      <c r="H41" s="79"/>
      <c r="I41" s="79"/>
      <c r="J41" s="80"/>
      <c r="K41" s="35"/>
    </row>
    <row r="42" spans="2:15" x14ac:dyDescent="0.25">
      <c r="B42" s="68" t="s">
        <v>26</v>
      </c>
      <c r="C42" s="78" t="s">
        <v>60</v>
      </c>
      <c r="D42" s="79"/>
      <c r="E42" s="79"/>
      <c r="F42" s="79"/>
      <c r="G42" s="79"/>
      <c r="H42" s="79"/>
      <c r="I42" s="79"/>
      <c r="J42" s="80"/>
      <c r="K42" s="35"/>
    </row>
    <row r="43" spans="2:15" ht="15.75" thickBot="1" x14ac:dyDescent="0.3">
      <c r="B43" s="68" t="s">
        <v>29</v>
      </c>
      <c r="C43" s="78" t="s">
        <v>64</v>
      </c>
      <c r="D43" s="79"/>
      <c r="E43" s="79"/>
      <c r="F43" s="79"/>
      <c r="G43" s="79"/>
      <c r="H43" s="79"/>
      <c r="I43" s="79"/>
      <c r="J43" s="80"/>
      <c r="K43" s="35"/>
    </row>
    <row r="44" spans="2:15" ht="15.75" thickBot="1" x14ac:dyDescent="0.3">
      <c r="B44" s="73" t="s">
        <v>28</v>
      </c>
      <c r="C44" s="78" t="s">
        <v>68</v>
      </c>
      <c r="D44" s="79"/>
      <c r="E44" s="79"/>
      <c r="F44" s="79"/>
      <c r="G44" s="79"/>
      <c r="H44" s="79"/>
      <c r="I44" s="79"/>
      <c r="J44" s="80"/>
      <c r="K44" s="35"/>
    </row>
    <row r="45" spans="2:15" ht="15.75" thickBot="1" x14ac:dyDescent="0.3">
      <c r="B45" s="74" t="s">
        <v>29</v>
      </c>
      <c r="C45" s="81" t="s">
        <v>69</v>
      </c>
      <c r="D45" s="82"/>
      <c r="E45" s="82"/>
      <c r="F45" s="82"/>
      <c r="G45" s="82"/>
      <c r="H45" s="82"/>
      <c r="I45" s="82"/>
      <c r="J45" s="83"/>
      <c r="K45" s="35"/>
    </row>
    <row r="46" spans="2:15" x14ac:dyDescent="0.25">
      <c r="K46" s="35"/>
    </row>
  </sheetData>
  <mergeCells count="11">
    <mergeCell ref="B22:E22"/>
    <mergeCell ref="B26:E26"/>
    <mergeCell ref="N30:O30"/>
    <mergeCell ref="G4:L4"/>
    <mergeCell ref="N14:O14"/>
    <mergeCell ref="N18:O18"/>
    <mergeCell ref="N4:O4"/>
    <mergeCell ref="N6:O6"/>
    <mergeCell ref="N10:O10"/>
    <mergeCell ref="N22:O22"/>
    <mergeCell ref="N26:O26"/>
  </mergeCells>
  <pageMargins left="0.7" right="0.7" top="0.75" bottom="0.75" header="0.3" footer="0.3"/>
  <pageSetup paperSize="9" scale="6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S45"/>
  <sheetViews>
    <sheetView showGridLines="0" zoomScaleNormal="100" workbookViewId="0">
      <selection activeCell="G14" sqref="G14:L14"/>
    </sheetView>
  </sheetViews>
  <sheetFormatPr defaultRowHeight="15" x14ac:dyDescent="0.25"/>
  <cols>
    <col min="2" max="2" width="11" bestFit="1" customWidth="1"/>
    <col min="5" max="5" width="9.5703125" customWidth="1"/>
    <col min="6" max="6" width="2.28515625" customWidth="1"/>
    <col min="12" max="12" width="9.140625" customWidth="1"/>
    <col min="13" max="13" width="1.7109375" customWidth="1"/>
    <col min="14" max="15" width="13.85546875" customWidth="1"/>
  </cols>
  <sheetData>
    <row r="1" spans="1:19" ht="15.75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</row>
    <row r="2" spans="1:19" ht="15.75" thickBot="1" x14ac:dyDescent="0.3">
      <c r="A2" s="35"/>
      <c r="B2" s="54" t="s">
        <v>21</v>
      </c>
      <c r="C2" s="55">
        <f ca="1">TODAY()</f>
        <v>42001</v>
      </c>
      <c r="D2" s="27"/>
      <c r="G2" s="27"/>
      <c r="H2" s="27"/>
      <c r="I2" s="27"/>
      <c r="J2" s="27"/>
      <c r="K2" s="27"/>
      <c r="L2" s="35"/>
      <c r="M2" s="35"/>
      <c r="N2" s="35"/>
      <c r="O2" s="35"/>
      <c r="P2" s="35"/>
    </row>
    <row r="3" spans="1:19" ht="15.75" thickBot="1" x14ac:dyDescent="0.3">
      <c r="A3" s="35"/>
      <c r="B3" s="27"/>
      <c r="C3" s="35"/>
      <c r="D3" s="27"/>
      <c r="E3" s="27"/>
      <c r="F3" s="35"/>
      <c r="G3" s="27"/>
      <c r="H3" s="27"/>
      <c r="I3" s="27"/>
      <c r="J3" s="27"/>
      <c r="K3" s="27"/>
      <c r="L3" s="35"/>
      <c r="M3" s="35"/>
      <c r="N3" s="35"/>
      <c r="O3" s="35"/>
      <c r="P3" s="35"/>
    </row>
    <row r="4" spans="1:19" ht="16.5" thickBot="1" x14ac:dyDescent="0.3">
      <c r="A4" s="35"/>
      <c r="B4" s="51"/>
      <c r="C4" s="51"/>
      <c r="D4" s="51"/>
      <c r="E4" s="51"/>
      <c r="F4" s="35"/>
      <c r="G4" s="302" t="s">
        <v>53</v>
      </c>
      <c r="H4" s="303"/>
      <c r="I4" s="303"/>
      <c r="J4" s="303"/>
      <c r="K4" s="303"/>
      <c r="L4" s="304"/>
      <c r="M4" s="27"/>
      <c r="N4" s="302" t="s">
        <v>54</v>
      </c>
      <c r="O4" s="304"/>
      <c r="P4" s="35"/>
    </row>
    <row r="5" spans="1:19" ht="36.75" thickBot="1" x14ac:dyDescent="0.3">
      <c r="A5" s="35"/>
      <c r="B5" s="84"/>
      <c r="C5" s="85" t="s">
        <v>22</v>
      </c>
      <c r="D5" s="85" t="s">
        <v>23</v>
      </c>
      <c r="E5" s="86" t="s">
        <v>30</v>
      </c>
      <c r="F5" s="35"/>
      <c r="G5" s="89" t="s">
        <v>24</v>
      </c>
      <c r="H5" s="90" t="s">
        <v>27</v>
      </c>
      <c r="I5" s="90" t="s">
        <v>25</v>
      </c>
      <c r="J5" s="91" t="s">
        <v>28</v>
      </c>
      <c r="K5" s="90" t="s">
        <v>26</v>
      </c>
      <c r="L5" s="92" t="s">
        <v>29</v>
      </c>
      <c r="M5" s="35"/>
      <c r="N5" s="94" t="s">
        <v>28</v>
      </c>
      <c r="O5" s="95" t="s">
        <v>29</v>
      </c>
      <c r="P5" s="35"/>
    </row>
    <row r="6" spans="1:19" x14ac:dyDescent="0.25">
      <c r="A6" s="35"/>
      <c r="B6" s="307" t="s">
        <v>18</v>
      </c>
      <c r="C6" s="308"/>
      <c r="D6" s="308"/>
      <c r="E6" s="309"/>
      <c r="F6" s="35"/>
      <c r="G6" s="307" t="s">
        <v>18</v>
      </c>
      <c r="H6" s="308"/>
      <c r="I6" s="308"/>
      <c r="J6" s="308"/>
      <c r="K6" s="308"/>
      <c r="L6" s="309"/>
      <c r="M6" s="35"/>
      <c r="N6" s="297" t="s">
        <v>18</v>
      </c>
      <c r="O6" s="299"/>
      <c r="P6" s="35"/>
    </row>
    <row r="7" spans="1:19" x14ac:dyDescent="0.25">
      <c r="A7" s="35"/>
      <c r="B7" s="59" t="s">
        <v>55</v>
      </c>
      <c r="C7" s="29">
        <v>279</v>
      </c>
      <c r="D7" s="29">
        <v>39</v>
      </c>
      <c r="E7" s="33">
        <v>19</v>
      </c>
      <c r="F7" s="35"/>
      <c r="G7" s="52">
        <v>183</v>
      </c>
      <c r="H7" s="29">
        <v>21</v>
      </c>
      <c r="I7" s="29">
        <v>540</v>
      </c>
      <c r="J7" s="29">
        <v>52</v>
      </c>
      <c r="K7" s="29">
        <v>1549</v>
      </c>
      <c r="L7" s="33">
        <v>85</v>
      </c>
      <c r="M7" s="35"/>
      <c r="N7" s="7">
        <v>54</v>
      </c>
      <c r="O7" s="8">
        <v>89</v>
      </c>
      <c r="P7" s="35"/>
    </row>
    <row r="8" spans="1:19" s="35" customFormat="1" x14ac:dyDescent="0.25">
      <c r="B8" s="59" t="s">
        <v>56</v>
      </c>
      <c r="C8" s="29">
        <v>302</v>
      </c>
      <c r="D8" s="29">
        <v>33</v>
      </c>
      <c r="E8" s="33">
        <v>38</v>
      </c>
      <c r="G8" s="52">
        <v>149</v>
      </c>
      <c r="H8" s="29">
        <v>14</v>
      </c>
      <c r="I8" s="29">
        <v>334</v>
      </c>
      <c r="J8" s="29">
        <v>23</v>
      </c>
      <c r="K8" s="29">
        <v>961</v>
      </c>
      <c r="L8" s="33">
        <v>57</v>
      </c>
      <c r="N8" s="7">
        <v>24</v>
      </c>
      <c r="O8" s="8">
        <v>58</v>
      </c>
    </row>
    <row r="9" spans="1:19" s="35" customFormat="1" x14ac:dyDescent="0.25">
      <c r="B9" s="59" t="s">
        <v>57</v>
      </c>
      <c r="C9" s="29">
        <v>405</v>
      </c>
      <c r="D9" s="29">
        <v>57</v>
      </c>
      <c r="E9" s="33">
        <v>52</v>
      </c>
      <c r="G9" s="52">
        <v>181</v>
      </c>
      <c r="H9" s="29">
        <v>20</v>
      </c>
      <c r="I9" s="29">
        <v>375</v>
      </c>
      <c r="J9" s="29">
        <v>36</v>
      </c>
      <c r="K9" s="29">
        <v>1089</v>
      </c>
      <c r="L9" s="33">
        <v>100</v>
      </c>
      <c r="N9" s="7">
        <v>34</v>
      </c>
      <c r="O9" s="8">
        <v>103</v>
      </c>
    </row>
    <row r="10" spans="1:19" x14ac:dyDescent="0.25">
      <c r="A10" s="35"/>
      <c r="B10" s="307" t="s">
        <v>19</v>
      </c>
      <c r="C10" s="308"/>
      <c r="D10" s="308"/>
      <c r="E10" s="309"/>
      <c r="F10" s="35"/>
      <c r="G10" s="307" t="s">
        <v>19</v>
      </c>
      <c r="H10" s="308"/>
      <c r="I10" s="308"/>
      <c r="J10" s="308"/>
      <c r="K10" s="308"/>
      <c r="L10" s="309"/>
      <c r="M10" s="35"/>
      <c r="N10" s="310" t="s">
        <v>19</v>
      </c>
      <c r="O10" s="311"/>
      <c r="P10" s="35"/>
    </row>
    <row r="11" spans="1:19" x14ac:dyDescent="0.25">
      <c r="A11" s="35"/>
      <c r="B11" s="59" t="s">
        <v>55</v>
      </c>
      <c r="C11" s="29">
        <v>395</v>
      </c>
      <c r="D11" s="29">
        <v>30</v>
      </c>
      <c r="E11" s="33">
        <v>58</v>
      </c>
      <c r="F11" s="35"/>
      <c r="G11" s="52">
        <v>23</v>
      </c>
      <c r="H11" s="29">
        <v>12</v>
      </c>
      <c r="I11" s="29">
        <v>148</v>
      </c>
      <c r="J11" s="29">
        <v>59</v>
      </c>
      <c r="K11" s="29">
        <v>395</v>
      </c>
      <c r="L11" s="33">
        <v>210</v>
      </c>
      <c r="M11" s="35"/>
      <c r="N11" s="7">
        <v>59</v>
      </c>
      <c r="O11" s="8">
        <v>212</v>
      </c>
      <c r="P11" s="35"/>
    </row>
    <row r="12" spans="1:19" s="35" customFormat="1" x14ac:dyDescent="0.25">
      <c r="B12" s="59" t="s">
        <v>56</v>
      </c>
      <c r="C12" s="29">
        <v>88</v>
      </c>
      <c r="D12" s="29">
        <v>13</v>
      </c>
      <c r="E12" s="33">
        <v>46</v>
      </c>
      <c r="G12" s="52">
        <v>15</v>
      </c>
      <c r="H12" s="29">
        <v>7</v>
      </c>
      <c r="I12" s="29">
        <v>70</v>
      </c>
      <c r="J12" s="29">
        <v>28</v>
      </c>
      <c r="K12" s="29">
        <v>225</v>
      </c>
      <c r="L12" s="33">
        <v>103</v>
      </c>
      <c r="N12" s="7">
        <v>33</v>
      </c>
      <c r="O12" s="8">
        <v>112</v>
      </c>
    </row>
    <row r="13" spans="1:19" s="35" customFormat="1" x14ac:dyDescent="0.25">
      <c r="B13" s="59" t="s">
        <v>57</v>
      </c>
      <c r="C13" s="29">
        <v>49</v>
      </c>
      <c r="D13" s="29">
        <v>4</v>
      </c>
      <c r="E13" s="33">
        <v>3</v>
      </c>
      <c r="G13" s="52">
        <v>13</v>
      </c>
      <c r="H13" s="29">
        <v>3</v>
      </c>
      <c r="I13" s="29">
        <v>16</v>
      </c>
      <c r="J13" s="29">
        <v>4</v>
      </c>
      <c r="K13" s="29">
        <v>36</v>
      </c>
      <c r="L13" s="33">
        <v>5</v>
      </c>
      <c r="N13" s="7">
        <v>4</v>
      </c>
      <c r="O13" s="8">
        <v>6</v>
      </c>
    </row>
    <row r="14" spans="1:19" x14ac:dyDescent="0.25">
      <c r="A14" s="35"/>
      <c r="B14" s="307" t="s">
        <v>20</v>
      </c>
      <c r="C14" s="308"/>
      <c r="D14" s="308"/>
      <c r="E14" s="309"/>
      <c r="F14" s="35"/>
      <c r="G14" s="307" t="s">
        <v>20</v>
      </c>
      <c r="H14" s="308"/>
      <c r="I14" s="308"/>
      <c r="J14" s="308"/>
      <c r="K14" s="308"/>
      <c r="L14" s="309"/>
      <c r="M14" s="35"/>
      <c r="N14" s="310" t="s">
        <v>20</v>
      </c>
      <c r="O14" s="311"/>
      <c r="P14" s="35"/>
      <c r="S14" s="35"/>
    </row>
    <row r="15" spans="1:19" x14ac:dyDescent="0.25">
      <c r="A15" s="35"/>
      <c r="B15" s="59" t="s">
        <v>55</v>
      </c>
      <c r="C15" s="29">
        <v>32</v>
      </c>
      <c r="D15" s="29">
        <v>0</v>
      </c>
      <c r="E15" s="33">
        <v>0</v>
      </c>
      <c r="F15" s="35"/>
      <c r="G15" s="52">
        <v>15</v>
      </c>
      <c r="H15" s="29">
        <v>3</v>
      </c>
      <c r="I15" s="29">
        <v>23</v>
      </c>
      <c r="J15" s="29">
        <v>3</v>
      </c>
      <c r="K15" s="29">
        <v>65</v>
      </c>
      <c r="L15" s="33">
        <v>8</v>
      </c>
      <c r="M15" s="35"/>
      <c r="N15" s="7">
        <v>0</v>
      </c>
      <c r="O15" s="8">
        <v>0</v>
      </c>
      <c r="P15" s="35"/>
      <c r="S15" s="35"/>
    </row>
    <row r="16" spans="1:19" s="35" customFormat="1" x14ac:dyDescent="0.25">
      <c r="B16" s="59" t="s">
        <v>56</v>
      </c>
      <c r="C16" s="29">
        <v>71</v>
      </c>
      <c r="D16" s="29">
        <v>8</v>
      </c>
      <c r="E16" s="33">
        <v>15</v>
      </c>
      <c r="G16" s="52">
        <v>13</v>
      </c>
      <c r="H16" s="29">
        <v>4</v>
      </c>
      <c r="I16" s="29">
        <v>16</v>
      </c>
      <c r="J16" s="29">
        <v>5</v>
      </c>
      <c r="K16" s="29">
        <v>37</v>
      </c>
      <c r="L16" s="33">
        <v>16</v>
      </c>
      <c r="N16" s="7">
        <v>8</v>
      </c>
      <c r="O16" s="8">
        <v>24</v>
      </c>
    </row>
    <row r="17" spans="1:19" s="35" customFormat="1" x14ac:dyDescent="0.25">
      <c r="B17" s="59" t="s">
        <v>57</v>
      </c>
      <c r="C17" s="29">
        <v>58</v>
      </c>
      <c r="D17" s="29">
        <v>4</v>
      </c>
      <c r="E17" s="33">
        <v>10</v>
      </c>
      <c r="G17" s="52">
        <v>6</v>
      </c>
      <c r="H17" s="29">
        <v>3</v>
      </c>
      <c r="I17" s="29">
        <v>10</v>
      </c>
      <c r="J17" s="29">
        <v>4</v>
      </c>
      <c r="K17" s="29">
        <v>24</v>
      </c>
      <c r="L17" s="33">
        <v>12</v>
      </c>
      <c r="N17" s="7">
        <v>6</v>
      </c>
      <c r="O17" s="8">
        <v>20</v>
      </c>
    </row>
    <row r="18" spans="1:19" x14ac:dyDescent="0.25">
      <c r="A18" s="35"/>
      <c r="B18" s="307" t="s">
        <v>52</v>
      </c>
      <c r="C18" s="308"/>
      <c r="D18" s="308"/>
      <c r="E18" s="309"/>
      <c r="F18" s="35"/>
      <c r="G18" s="307" t="s">
        <v>52</v>
      </c>
      <c r="H18" s="308"/>
      <c r="I18" s="308"/>
      <c r="J18" s="308"/>
      <c r="K18" s="308"/>
      <c r="L18" s="309"/>
      <c r="M18" s="35"/>
      <c r="N18" s="305" t="s">
        <v>52</v>
      </c>
      <c r="O18" s="306"/>
      <c r="P18" s="35"/>
      <c r="S18" s="35"/>
    </row>
    <row r="19" spans="1:19" x14ac:dyDescent="0.25">
      <c r="A19" s="35"/>
      <c r="B19" s="59" t="s">
        <v>55</v>
      </c>
      <c r="C19" s="29">
        <v>34</v>
      </c>
      <c r="D19" s="29">
        <v>4</v>
      </c>
      <c r="E19" s="33">
        <v>0</v>
      </c>
      <c r="F19" s="35"/>
      <c r="G19" s="52">
        <v>13</v>
      </c>
      <c r="H19" s="29">
        <v>1</v>
      </c>
      <c r="I19" s="29">
        <v>3</v>
      </c>
      <c r="J19" s="29">
        <v>1</v>
      </c>
      <c r="K19" s="29">
        <v>111</v>
      </c>
      <c r="L19" s="33">
        <v>2</v>
      </c>
      <c r="M19" s="35"/>
      <c r="N19" s="7">
        <v>1</v>
      </c>
      <c r="O19" s="8">
        <v>2</v>
      </c>
      <c r="P19" s="35"/>
      <c r="S19" s="35"/>
    </row>
    <row r="20" spans="1:19" s="35" customFormat="1" ht="15.75" thickBot="1" x14ac:dyDescent="0.3">
      <c r="B20" s="59" t="s">
        <v>56</v>
      </c>
      <c r="C20" s="29">
        <v>20</v>
      </c>
      <c r="D20" s="29">
        <v>1</v>
      </c>
      <c r="E20" s="33">
        <v>1</v>
      </c>
      <c r="G20" s="53">
        <v>5</v>
      </c>
      <c r="H20" s="31">
        <v>4</v>
      </c>
      <c r="I20" s="31">
        <v>23</v>
      </c>
      <c r="J20" s="31">
        <v>4</v>
      </c>
      <c r="K20" s="31">
        <v>65</v>
      </c>
      <c r="L20" s="34">
        <v>4</v>
      </c>
      <c r="N20" s="9">
        <v>3</v>
      </c>
      <c r="O20" s="11">
        <v>3</v>
      </c>
    </row>
    <row r="21" spans="1:19" s="35" customFormat="1" ht="15.75" thickBot="1" x14ac:dyDescent="0.3">
      <c r="B21" s="60" t="s">
        <v>57</v>
      </c>
      <c r="C21" s="31">
        <v>1</v>
      </c>
      <c r="D21" s="31">
        <v>0</v>
      </c>
      <c r="E21" s="34">
        <v>0</v>
      </c>
      <c r="G21" s="56">
        <v>0</v>
      </c>
      <c r="H21" s="57">
        <v>0</v>
      </c>
      <c r="I21" s="57">
        <v>0</v>
      </c>
      <c r="J21" s="57">
        <v>0</v>
      </c>
      <c r="K21" s="57">
        <v>0</v>
      </c>
      <c r="L21" s="58">
        <v>0</v>
      </c>
      <c r="N21" s="16">
        <v>0</v>
      </c>
      <c r="O21" s="18">
        <v>0</v>
      </c>
    </row>
    <row r="22" spans="1:19" s="179" customFormat="1" x14ac:dyDescent="0.25">
      <c r="B22" s="307" t="s">
        <v>468</v>
      </c>
      <c r="C22" s="308"/>
      <c r="D22" s="308"/>
      <c r="E22" s="309"/>
      <c r="G22" s="307" t="s">
        <v>468</v>
      </c>
      <c r="H22" s="308"/>
      <c r="I22" s="308"/>
      <c r="J22" s="308"/>
      <c r="K22" s="308"/>
      <c r="L22" s="309"/>
      <c r="N22" s="305" t="s">
        <v>468</v>
      </c>
      <c r="O22" s="306"/>
    </row>
    <row r="23" spans="1:19" s="179" customFormat="1" x14ac:dyDescent="0.25">
      <c r="B23" s="59" t="s">
        <v>55</v>
      </c>
      <c r="C23" s="29">
        <v>0</v>
      </c>
      <c r="D23" s="29">
        <v>1</v>
      </c>
      <c r="E23" s="33">
        <v>0</v>
      </c>
      <c r="G23" s="52">
        <v>1</v>
      </c>
      <c r="H23" s="29">
        <v>0</v>
      </c>
      <c r="I23" s="29">
        <v>1</v>
      </c>
      <c r="J23" s="29">
        <v>0</v>
      </c>
      <c r="K23" s="29">
        <v>2</v>
      </c>
      <c r="L23" s="33">
        <v>0</v>
      </c>
      <c r="N23" s="158">
        <v>0</v>
      </c>
      <c r="O23" s="8">
        <v>0</v>
      </c>
    </row>
    <row r="24" spans="1:19" s="179" customFormat="1" ht="15.75" thickBot="1" x14ac:dyDescent="0.3">
      <c r="B24" s="59" t="s">
        <v>56</v>
      </c>
      <c r="C24" s="29">
        <v>1</v>
      </c>
      <c r="D24" s="29">
        <v>1</v>
      </c>
      <c r="E24" s="33">
        <v>0</v>
      </c>
      <c r="G24" s="53">
        <v>1</v>
      </c>
      <c r="H24" s="31">
        <v>0</v>
      </c>
      <c r="I24" s="31">
        <v>1</v>
      </c>
      <c r="J24" s="31">
        <v>0</v>
      </c>
      <c r="K24" s="31">
        <v>2</v>
      </c>
      <c r="L24" s="34">
        <v>0</v>
      </c>
      <c r="N24" s="159">
        <v>0</v>
      </c>
      <c r="O24" s="11">
        <v>0</v>
      </c>
    </row>
    <row r="25" spans="1:19" s="179" customFormat="1" ht="15.75" thickBot="1" x14ac:dyDescent="0.3">
      <c r="B25" s="60" t="s">
        <v>57</v>
      </c>
      <c r="C25" s="31">
        <v>0</v>
      </c>
      <c r="D25" s="31">
        <v>0</v>
      </c>
      <c r="E25" s="34">
        <v>0</v>
      </c>
      <c r="G25" s="56">
        <v>0</v>
      </c>
      <c r="H25" s="57">
        <v>0</v>
      </c>
      <c r="I25" s="57">
        <v>0</v>
      </c>
      <c r="J25" s="57">
        <v>0</v>
      </c>
      <c r="K25" s="57">
        <v>0</v>
      </c>
      <c r="L25" s="58">
        <v>0</v>
      </c>
      <c r="N25" s="16">
        <v>0</v>
      </c>
      <c r="O25" s="18">
        <v>0</v>
      </c>
    </row>
    <row r="26" spans="1:19" s="179" customFormat="1" x14ac:dyDescent="0.25">
      <c r="B26" s="307" t="s">
        <v>469</v>
      </c>
      <c r="C26" s="308"/>
      <c r="D26" s="308"/>
      <c r="E26" s="309"/>
      <c r="G26" s="307" t="s">
        <v>469</v>
      </c>
      <c r="H26" s="308"/>
      <c r="I26" s="308"/>
      <c r="J26" s="308"/>
      <c r="K26" s="308"/>
      <c r="L26" s="309"/>
      <c r="N26" s="305" t="s">
        <v>469</v>
      </c>
      <c r="O26" s="306"/>
    </row>
    <row r="27" spans="1:19" s="179" customFormat="1" x14ac:dyDescent="0.25">
      <c r="B27" s="59" t="s">
        <v>55</v>
      </c>
      <c r="C27" s="29">
        <v>58</v>
      </c>
      <c r="D27" s="29">
        <v>1</v>
      </c>
      <c r="E27" s="33">
        <v>0</v>
      </c>
      <c r="G27" s="52">
        <v>1</v>
      </c>
      <c r="H27" s="29">
        <v>0</v>
      </c>
      <c r="I27" s="29">
        <v>2</v>
      </c>
      <c r="J27" s="29">
        <v>0</v>
      </c>
      <c r="K27" s="29">
        <v>2</v>
      </c>
      <c r="L27" s="33">
        <v>0</v>
      </c>
      <c r="N27" s="158">
        <v>0</v>
      </c>
      <c r="O27" s="8">
        <v>0</v>
      </c>
    </row>
    <row r="28" spans="1:19" s="179" customFormat="1" ht="15.75" thickBot="1" x14ac:dyDescent="0.3">
      <c r="B28" s="59" t="s">
        <v>56</v>
      </c>
      <c r="C28" s="29">
        <v>55</v>
      </c>
      <c r="D28" s="29">
        <v>0</v>
      </c>
      <c r="E28" s="33">
        <v>0</v>
      </c>
      <c r="G28" s="53">
        <v>0</v>
      </c>
      <c r="H28" s="31">
        <v>0</v>
      </c>
      <c r="I28" s="31">
        <v>0</v>
      </c>
      <c r="J28" s="31">
        <v>0</v>
      </c>
      <c r="K28" s="31">
        <v>0</v>
      </c>
      <c r="L28" s="34">
        <v>0</v>
      </c>
      <c r="N28" s="159">
        <v>0</v>
      </c>
      <c r="O28" s="11">
        <v>0</v>
      </c>
    </row>
    <row r="29" spans="1:19" s="179" customFormat="1" ht="15.75" thickBot="1" x14ac:dyDescent="0.3">
      <c r="B29" s="60" t="s">
        <v>57</v>
      </c>
      <c r="C29" s="31">
        <v>0</v>
      </c>
      <c r="D29" s="31">
        <v>0</v>
      </c>
      <c r="E29" s="34">
        <v>0</v>
      </c>
      <c r="G29" s="56">
        <v>0</v>
      </c>
      <c r="H29" s="57">
        <v>0</v>
      </c>
      <c r="I29" s="57">
        <v>0</v>
      </c>
      <c r="J29" s="57">
        <v>0</v>
      </c>
      <c r="K29" s="57">
        <v>0</v>
      </c>
      <c r="L29" s="58">
        <v>0</v>
      </c>
      <c r="N29" s="16">
        <v>0</v>
      </c>
      <c r="O29" s="18">
        <v>0</v>
      </c>
    </row>
    <row r="30" spans="1:19" s="35" customFormat="1" x14ac:dyDescent="0.25">
      <c r="B30" s="312" t="s">
        <v>65</v>
      </c>
      <c r="C30" s="313"/>
      <c r="D30" s="313"/>
      <c r="E30" s="314"/>
      <c r="G30" s="312" t="s">
        <v>65</v>
      </c>
      <c r="H30" s="313"/>
      <c r="I30" s="313"/>
      <c r="J30" s="313"/>
      <c r="K30" s="313"/>
      <c r="L30" s="314"/>
      <c r="N30" s="315" t="s">
        <v>65</v>
      </c>
      <c r="O30" s="316"/>
    </row>
    <row r="31" spans="1:19" x14ac:dyDescent="0.25">
      <c r="B31" s="59" t="s">
        <v>55</v>
      </c>
      <c r="C31" s="29">
        <f>C7+C11+C15+C19+C23+C27</f>
        <v>798</v>
      </c>
      <c r="D31" s="29">
        <f t="shared" ref="D31:E31" si="0">D7+D11+D15+D19+D23+D27</f>
        <v>75</v>
      </c>
      <c r="E31" s="29">
        <f t="shared" si="0"/>
        <v>77</v>
      </c>
      <c r="F31" s="35"/>
      <c r="G31" s="29">
        <f>G7+G11+G15+G19+G23+G27</f>
        <v>236</v>
      </c>
      <c r="H31" s="29">
        <f t="shared" ref="H31:L31" si="1">H7+H11+H15+H19+H23+H27</f>
        <v>37</v>
      </c>
      <c r="I31" s="29">
        <f t="shared" si="1"/>
        <v>717</v>
      </c>
      <c r="J31" s="29">
        <f t="shared" si="1"/>
        <v>115</v>
      </c>
      <c r="K31" s="29">
        <f t="shared" si="1"/>
        <v>2124</v>
      </c>
      <c r="L31" s="29">
        <f t="shared" si="1"/>
        <v>305</v>
      </c>
      <c r="M31" s="35"/>
      <c r="N31" s="29">
        <f>N7+N11+N15+N19+N23+N27</f>
        <v>114</v>
      </c>
      <c r="O31" s="29">
        <f>O7+O11+O15+O19+O23+O27</f>
        <v>303</v>
      </c>
      <c r="S31" s="35"/>
    </row>
    <row r="32" spans="1:19" x14ac:dyDescent="0.25">
      <c r="B32" s="59" t="s">
        <v>56</v>
      </c>
      <c r="C32" s="29">
        <f t="shared" ref="C32:E32" si="2">C8+C12+C16+C20+C24+C28</f>
        <v>537</v>
      </c>
      <c r="D32" s="29">
        <f>D8+D12+D16+D20+D24+D28</f>
        <v>56</v>
      </c>
      <c r="E32" s="29">
        <f t="shared" si="2"/>
        <v>100</v>
      </c>
      <c r="F32" s="35"/>
      <c r="G32" s="29">
        <f t="shared" ref="G32:L32" si="3">G8+G12+G16+G20+G24+G28</f>
        <v>183</v>
      </c>
      <c r="H32" s="29">
        <f t="shared" si="3"/>
        <v>29</v>
      </c>
      <c r="I32" s="29">
        <f t="shared" si="3"/>
        <v>444</v>
      </c>
      <c r="J32" s="29">
        <f t="shared" si="3"/>
        <v>60</v>
      </c>
      <c r="K32" s="29">
        <f>K8+K12+K16+K20+K24+K28</f>
        <v>1290</v>
      </c>
      <c r="L32" s="29">
        <f t="shared" si="3"/>
        <v>180</v>
      </c>
      <c r="M32" s="35"/>
      <c r="N32" s="29">
        <f t="shared" ref="N32" si="4">N8+N12+N16+N20+N24+N28</f>
        <v>68</v>
      </c>
      <c r="O32" s="29">
        <f>O8+O12+O16+O20+O24+O28</f>
        <v>197</v>
      </c>
      <c r="S32" s="35"/>
    </row>
    <row r="33" spans="2:19" ht="15.75" thickBot="1" x14ac:dyDescent="0.3">
      <c r="B33" s="60" t="s">
        <v>57</v>
      </c>
      <c r="C33" s="29">
        <f t="shared" ref="C33:E33" si="5">C9+C13+C17+C21+C25+C29</f>
        <v>513</v>
      </c>
      <c r="D33" s="29">
        <f t="shared" si="5"/>
        <v>65</v>
      </c>
      <c r="E33" s="29">
        <f t="shared" si="5"/>
        <v>65</v>
      </c>
      <c r="F33" s="35"/>
      <c r="G33" s="29">
        <f t="shared" ref="G33:L33" si="6">G9+G13+G17+G21+G25+G29</f>
        <v>200</v>
      </c>
      <c r="H33" s="29">
        <f t="shared" si="6"/>
        <v>26</v>
      </c>
      <c r="I33" s="29">
        <f t="shared" si="6"/>
        <v>401</v>
      </c>
      <c r="J33" s="29">
        <f t="shared" si="6"/>
        <v>44</v>
      </c>
      <c r="K33" s="29">
        <f t="shared" si="6"/>
        <v>1149</v>
      </c>
      <c r="L33" s="29">
        <f t="shared" si="6"/>
        <v>117</v>
      </c>
      <c r="M33" s="35"/>
      <c r="N33" s="29">
        <f t="shared" ref="N33:O33" si="7">N9+N13+N17+N21+N25+N29</f>
        <v>44</v>
      </c>
      <c r="O33" s="29">
        <f t="shared" si="7"/>
        <v>129</v>
      </c>
      <c r="S33" s="35"/>
    </row>
    <row r="34" spans="2:19" ht="15.75" thickBot="1" x14ac:dyDescent="0.3">
      <c r="S34" s="35"/>
    </row>
    <row r="35" spans="2:19" x14ac:dyDescent="0.25">
      <c r="B35" s="87" t="s">
        <v>22</v>
      </c>
      <c r="C35" s="317" t="s">
        <v>70</v>
      </c>
      <c r="D35" s="318"/>
      <c r="E35" s="318"/>
      <c r="F35" s="318"/>
      <c r="G35" s="318"/>
      <c r="H35" s="318"/>
      <c r="I35" s="318"/>
      <c r="J35" s="319"/>
      <c r="S35" s="35"/>
    </row>
    <row r="36" spans="2:19" x14ac:dyDescent="0.25">
      <c r="B36" s="88" t="s">
        <v>23</v>
      </c>
      <c r="C36" s="320" t="s">
        <v>58</v>
      </c>
      <c r="D36" s="321"/>
      <c r="E36" s="321"/>
      <c r="F36" s="321"/>
      <c r="G36" s="321"/>
      <c r="H36" s="321"/>
      <c r="I36" s="321"/>
      <c r="J36" s="322"/>
      <c r="S36" s="35"/>
    </row>
    <row r="37" spans="2:19" ht="15.75" thickBot="1" x14ac:dyDescent="0.3">
      <c r="B37" s="97" t="s">
        <v>30</v>
      </c>
      <c r="C37" s="323" t="s">
        <v>59</v>
      </c>
      <c r="D37" s="324"/>
      <c r="E37" s="324"/>
      <c r="F37" s="324"/>
      <c r="G37" s="324"/>
      <c r="H37" s="324"/>
      <c r="I37" s="324"/>
      <c r="J37" s="325"/>
      <c r="S37" s="35"/>
    </row>
    <row r="38" spans="2:19" x14ac:dyDescent="0.25">
      <c r="B38" s="99" t="s">
        <v>24</v>
      </c>
      <c r="C38" s="317" t="s">
        <v>71</v>
      </c>
      <c r="D38" s="318"/>
      <c r="E38" s="318"/>
      <c r="F38" s="318"/>
      <c r="G38" s="318"/>
      <c r="H38" s="318"/>
      <c r="I38" s="318"/>
      <c r="J38" s="319"/>
      <c r="S38" s="35"/>
    </row>
    <row r="39" spans="2:19" x14ac:dyDescent="0.25">
      <c r="B39" s="93" t="s">
        <v>27</v>
      </c>
      <c r="C39" s="320" t="s">
        <v>72</v>
      </c>
      <c r="D39" s="321"/>
      <c r="E39" s="321"/>
      <c r="F39" s="321"/>
      <c r="G39" s="321"/>
      <c r="H39" s="321"/>
      <c r="I39" s="321"/>
      <c r="J39" s="322"/>
      <c r="S39" s="35"/>
    </row>
    <row r="40" spans="2:19" x14ac:dyDescent="0.25">
      <c r="B40" s="93" t="s">
        <v>25</v>
      </c>
      <c r="C40" s="320" t="s">
        <v>66</v>
      </c>
      <c r="D40" s="321"/>
      <c r="E40" s="321"/>
      <c r="F40" s="321"/>
      <c r="G40" s="321"/>
      <c r="H40" s="321"/>
      <c r="I40" s="321"/>
      <c r="J40" s="322"/>
      <c r="S40" s="35"/>
    </row>
    <row r="41" spans="2:19" x14ac:dyDescent="0.25">
      <c r="B41" s="93" t="s">
        <v>28</v>
      </c>
      <c r="C41" s="320" t="s">
        <v>63</v>
      </c>
      <c r="D41" s="321"/>
      <c r="E41" s="321"/>
      <c r="F41" s="321"/>
      <c r="G41" s="321"/>
      <c r="H41" s="321"/>
      <c r="I41" s="321"/>
      <c r="J41" s="322"/>
      <c r="S41" s="35"/>
    </row>
    <row r="42" spans="2:19" x14ac:dyDescent="0.25">
      <c r="B42" s="93" t="s">
        <v>26</v>
      </c>
      <c r="C42" s="320" t="s">
        <v>60</v>
      </c>
      <c r="D42" s="321"/>
      <c r="E42" s="321"/>
      <c r="F42" s="321"/>
      <c r="G42" s="321"/>
      <c r="H42" s="321"/>
      <c r="I42" s="321"/>
      <c r="J42" s="322"/>
      <c r="S42" s="35"/>
    </row>
    <row r="43" spans="2:19" ht="15.75" thickBot="1" x14ac:dyDescent="0.3">
      <c r="B43" s="100" t="s">
        <v>29</v>
      </c>
      <c r="C43" s="323" t="s">
        <v>64</v>
      </c>
      <c r="D43" s="324"/>
      <c r="E43" s="324"/>
      <c r="F43" s="324"/>
      <c r="G43" s="324"/>
      <c r="H43" s="324"/>
      <c r="I43" s="324"/>
      <c r="J43" s="325"/>
      <c r="S43" s="35"/>
    </row>
    <row r="44" spans="2:19" ht="15.75" thickBot="1" x14ac:dyDescent="0.3">
      <c r="B44" s="98" t="s">
        <v>28</v>
      </c>
      <c r="C44" s="317" t="s">
        <v>68</v>
      </c>
      <c r="D44" s="318"/>
      <c r="E44" s="318"/>
      <c r="F44" s="318"/>
      <c r="G44" s="318"/>
      <c r="H44" s="318"/>
      <c r="I44" s="318"/>
      <c r="J44" s="319"/>
    </row>
    <row r="45" spans="2:19" ht="15.75" thickBot="1" x14ac:dyDescent="0.3">
      <c r="B45" s="96" t="s">
        <v>29</v>
      </c>
      <c r="C45" s="323" t="s">
        <v>69</v>
      </c>
      <c r="D45" s="324"/>
      <c r="E45" s="324"/>
      <c r="F45" s="324"/>
      <c r="G45" s="324"/>
      <c r="H45" s="324"/>
      <c r="I45" s="324"/>
      <c r="J45" s="325"/>
    </row>
  </sheetData>
  <mergeCells count="34">
    <mergeCell ref="B22:E22"/>
    <mergeCell ref="G22:L22"/>
    <mergeCell ref="N22:O22"/>
    <mergeCell ref="B26:E26"/>
    <mergeCell ref="G26:L26"/>
    <mergeCell ref="N26:O26"/>
    <mergeCell ref="C42:J42"/>
    <mergeCell ref="C43:J43"/>
    <mergeCell ref="C44:J44"/>
    <mergeCell ref="C45:J45"/>
    <mergeCell ref="C37:J37"/>
    <mergeCell ref="C38:J38"/>
    <mergeCell ref="C39:J39"/>
    <mergeCell ref="C40:J40"/>
    <mergeCell ref="C41:J41"/>
    <mergeCell ref="B30:E30"/>
    <mergeCell ref="G30:L30"/>
    <mergeCell ref="N30:O30"/>
    <mergeCell ref="C35:J35"/>
    <mergeCell ref="C36:J36"/>
    <mergeCell ref="N18:O18"/>
    <mergeCell ref="G4:L4"/>
    <mergeCell ref="N4:O4"/>
    <mergeCell ref="N6:O6"/>
    <mergeCell ref="N10:O10"/>
    <mergeCell ref="N14:O14"/>
    <mergeCell ref="G6:L6"/>
    <mergeCell ref="B6:E6"/>
    <mergeCell ref="B18:E18"/>
    <mergeCell ref="B14:E14"/>
    <mergeCell ref="B10:E10"/>
    <mergeCell ref="G10:L10"/>
    <mergeCell ref="G18:L18"/>
    <mergeCell ref="G14:L14"/>
  </mergeCells>
  <pageMargins left="0.511811024" right="0.511811024" top="0.78740157499999996" bottom="0.78740157499999996" header="0.31496062000000002" footer="0.31496062000000002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3:I20"/>
  <sheetViews>
    <sheetView workbookViewId="0">
      <selection activeCell="O11" sqref="O11"/>
    </sheetView>
  </sheetViews>
  <sheetFormatPr defaultRowHeight="15" x14ac:dyDescent="0.25"/>
  <cols>
    <col min="3" max="3" width="15.5703125" bestFit="1" customWidth="1"/>
    <col min="4" max="9" width="14.7109375" customWidth="1"/>
  </cols>
  <sheetData>
    <row r="3" spans="2:9" ht="58.5" customHeight="1" x14ac:dyDescent="0.25">
      <c r="B3" s="326" t="s">
        <v>31</v>
      </c>
      <c r="C3" s="36"/>
      <c r="D3" s="37" t="s">
        <v>32</v>
      </c>
      <c r="E3" s="37" t="s">
        <v>33</v>
      </c>
      <c r="F3" s="37" t="s">
        <v>34</v>
      </c>
      <c r="G3" s="37" t="s">
        <v>35</v>
      </c>
      <c r="H3" s="37" t="s">
        <v>36</v>
      </c>
      <c r="I3" s="37" t="s">
        <v>37</v>
      </c>
    </row>
    <row r="4" spans="2:9" x14ac:dyDescent="0.25">
      <c r="B4" s="327"/>
      <c r="C4" s="38" t="s">
        <v>50</v>
      </c>
      <c r="D4" s="5"/>
      <c r="E4" s="5"/>
      <c r="F4" s="5"/>
      <c r="G4" s="5"/>
      <c r="H4" s="5"/>
      <c r="I4" s="6"/>
    </row>
    <row r="5" spans="2:9" x14ac:dyDescent="0.25">
      <c r="B5" s="327"/>
      <c r="C5" s="39" t="s">
        <v>51</v>
      </c>
      <c r="D5" s="3"/>
      <c r="E5" s="3"/>
      <c r="F5" s="3"/>
      <c r="G5" s="3"/>
      <c r="H5" s="3"/>
      <c r="I5" s="8"/>
    </row>
    <row r="6" spans="2:9" x14ac:dyDescent="0.25">
      <c r="B6" s="327"/>
      <c r="C6" s="45" t="s">
        <v>7</v>
      </c>
      <c r="D6" s="46"/>
      <c r="E6" s="46"/>
      <c r="F6" s="46"/>
      <c r="G6" s="46"/>
      <c r="H6" s="46"/>
      <c r="I6" s="47"/>
    </row>
    <row r="7" spans="2:9" x14ac:dyDescent="0.25">
      <c r="B7" s="327"/>
      <c r="C7" s="38" t="s">
        <v>45</v>
      </c>
      <c r="D7" s="5"/>
      <c r="E7" s="5"/>
      <c r="F7" s="5"/>
      <c r="G7" s="5"/>
      <c r="H7" s="5"/>
      <c r="I7" s="6"/>
    </row>
    <row r="8" spans="2:9" x14ac:dyDescent="0.25">
      <c r="B8" s="327"/>
      <c r="C8" s="39" t="s">
        <v>46</v>
      </c>
      <c r="D8" s="3"/>
      <c r="E8" s="3"/>
      <c r="F8" s="3"/>
      <c r="G8" s="3"/>
      <c r="H8" s="3"/>
      <c r="I8" s="8"/>
    </row>
    <row r="9" spans="2:9" x14ac:dyDescent="0.25">
      <c r="B9" s="327"/>
      <c r="C9" s="40" t="s">
        <v>38</v>
      </c>
      <c r="D9" s="10"/>
      <c r="E9" s="10"/>
      <c r="F9" s="10"/>
      <c r="G9" s="10"/>
      <c r="H9" s="10"/>
      <c r="I9" s="11"/>
    </row>
    <row r="10" spans="2:9" x14ac:dyDescent="0.25">
      <c r="B10" s="327"/>
      <c r="C10" s="38" t="s">
        <v>47</v>
      </c>
      <c r="D10" s="5"/>
      <c r="E10" s="5"/>
      <c r="F10" s="5"/>
      <c r="G10" s="5"/>
      <c r="H10" s="5"/>
      <c r="I10" s="6"/>
    </row>
    <row r="11" spans="2:9" x14ac:dyDescent="0.25">
      <c r="B11" s="327"/>
      <c r="C11" s="39" t="s">
        <v>48</v>
      </c>
      <c r="D11" s="3"/>
      <c r="E11" s="3"/>
      <c r="F11" s="3"/>
      <c r="G11" s="3"/>
      <c r="H11" s="3"/>
      <c r="I11" s="8"/>
    </row>
    <row r="12" spans="2:9" x14ac:dyDescent="0.25">
      <c r="B12" s="327"/>
      <c r="C12" s="40" t="s">
        <v>39</v>
      </c>
      <c r="D12" s="10"/>
      <c r="E12" s="10"/>
      <c r="F12" s="10"/>
      <c r="G12" s="10"/>
      <c r="H12" s="10"/>
      <c r="I12" s="11"/>
    </row>
    <row r="13" spans="2:9" x14ac:dyDescent="0.25">
      <c r="B13" s="327"/>
      <c r="C13" s="42" t="s">
        <v>40</v>
      </c>
      <c r="D13" s="41"/>
      <c r="E13" s="41"/>
      <c r="F13" s="41"/>
      <c r="G13" s="41"/>
      <c r="H13" s="41"/>
      <c r="I13" s="43"/>
    </row>
    <row r="14" spans="2:9" x14ac:dyDescent="0.25">
      <c r="B14" s="327"/>
      <c r="C14" s="38" t="s">
        <v>41</v>
      </c>
      <c r="D14" s="5"/>
      <c r="E14" s="5"/>
      <c r="F14" s="5"/>
      <c r="G14" s="5"/>
      <c r="H14" s="5"/>
      <c r="I14" s="6"/>
    </row>
    <row r="15" spans="2:9" x14ac:dyDescent="0.25">
      <c r="B15" s="327"/>
      <c r="C15" s="40" t="s">
        <v>42</v>
      </c>
      <c r="D15" s="10"/>
      <c r="E15" s="10"/>
      <c r="F15" s="10"/>
      <c r="G15" s="10"/>
      <c r="H15" s="10"/>
      <c r="I15" s="11"/>
    </row>
    <row r="16" spans="2:9" x14ac:dyDescent="0.25">
      <c r="B16" s="327"/>
      <c r="C16" s="38" t="s">
        <v>25</v>
      </c>
      <c r="D16" s="5"/>
      <c r="E16" s="5"/>
      <c r="F16" s="5"/>
      <c r="G16" s="5"/>
      <c r="H16" s="5"/>
      <c r="I16" s="6"/>
    </row>
    <row r="17" spans="2:9" x14ac:dyDescent="0.25">
      <c r="B17" s="327"/>
      <c r="C17" s="40" t="s">
        <v>28</v>
      </c>
      <c r="D17" s="10"/>
      <c r="E17" s="10"/>
      <c r="F17" s="10"/>
      <c r="G17" s="10"/>
      <c r="H17" s="10"/>
      <c r="I17" s="11"/>
    </row>
    <row r="18" spans="2:9" x14ac:dyDescent="0.25">
      <c r="B18" s="327"/>
      <c r="C18" s="38" t="s">
        <v>43</v>
      </c>
      <c r="D18" s="5"/>
      <c r="E18" s="5"/>
      <c r="F18" s="5"/>
      <c r="G18" s="5"/>
      <c r="H18" s="5"/>
      <c r="I18" s="6"/>
    </row>
    <row r="19" spans="2:9" x14ac:dyDescent="0.25">
      <c r="B19" s="327"/>
      <c r="C19" s="40" t="s">
        <v>44</v>
      </c>
      <c r="D19" s="10"/>
      <c r="E19" s="10"/>
      <c r="F19" s="10"/>
      <c r="G19" s="10"/>
      <c r="H19" s="10"/>
      <c r="I19" s="11"/>
    </row>
    <row r="20" spans="2:9" x14ac:dyDescent="0.25">
      <c r="B20" s="328"/>
      <c r="C20" s="44" t="s">
        <v>49</v>
      </c>
      <c r="D20" s="17"/>
      <c r="E20" s="17"/>
      <c r="F20" s="17"/>
      <c r="G20" s="17"/>
      <c r="H20" s="17"/>
      <c r="I20" s="18"/>
    </row>
  </sheetData>
  <mergeCells count="1">
    <mergeCell ref="B3:B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380"/>
  <sheetViews>
    <sheetView workbookViewId="0">
      <pane ySplit="1" topLeftCell="A79" activePane="bottomLeft" state="frozen"/>
      <selection pane="bottomLeft" activeCell="N1" sqref="N1"/>
    </sheetView>
  </sheetViews>
  <sheetFormatPr defaultRowHeight="15" x14ac:dyDescent="0.25"/>
  <cols>
    <col min="1" max="1" width="10.7109375" style="101" bestFit="1" customWidth="1"/>
    <col min="2" max="2" width="17.42578125" style="101" bestFit="1" customWidth="1"/>
    <col min="3" max="3" width="15.28515625" style="101" bestFit="1" customWidth="1"/>
    <col min="4" max="4" width="19" style="101" bestFit="1" customWidth="1"/>
    <col min="5" max="5" width="16.7109375" style="101" bestFit="1" customWidth="1"/>
    <col min="6" max="6" width="19" style="101" bestFit="1" customWidth="1"/>
    <col min="7" max="7" width="16.7109375" style="101" bestFit="1" customWidth="1"/>
    <col min="8" max="8" width="6.85546875" style="101" customWidth="1"/>
    <col min="9" max="9" width="15" style="101" bestFit="1" customWidth="1"/>
    <col min="10" max="10" width="17.42578125" style="101" bestFit="1" customWidth="1"/>
    <col min="11" max="11" width="12.5703125" style="101" bestFit="1" customWidth="1"/>
    <col min="12" max="12" width="15" style="101" bestFit="1" customWidth="1"/>
    <col min="13" max="13" width="13.5703125" style="101" bestFit="1" customWidth="1"/>
    <col min="14" max="14" width="16" style="101" bestFit="1" customWidth="1"/>
    <col min="15" max="15" width="5.28515625" style="101" customWidth="1"/>
    <col min="16" max="16384" width="9.140625" style="101"/>
  </cols>
  <sheetData>
    <row r="1" spans="1:15" x14ac:dyDescent="0.25">
      <c r="A1" s="101" t="s">
        <v>76</v>
      </c>
      <c r="B1" s="101" t="s">
        <v>51</v>
      </c>
      <c r="C1" s="101" t="s">
        <v>50</v>
      </c>
      <c r="D1" s="101" t="s">
        <v>46</v>
      </c>
      <c r="E1" s="101" t="s">
        <v>45</v>
      </c>
      <c r="F1" s="101" t="s">
        <v>46</v>
      </c>
      <c r="G1" s="101" t="s">
        <v>45</v>
      </c>
      <c r="I1" s="101" t="s">
        <v>24</v>
      </c>
      <c r="J1" s="101" t="s">
        <v>73</v>
      </c>
      <c r="K1" s="101" t="s">
        <v>25</v>
      </c>
      <c r="L1" s="101" t="s">
        <v>74</v>
      </c>
      <c r="M1" s="101" t="s">
        <v>43</v>
      </c>
      <c r="N1" s="101" t="s">
        <v>75</v>
      </c>
    </row>
    <row r="2" spans="1:15" x14ac:dyDescent="0.25">
      <c r="A2" s="102">
        <v>41640</v>
      </c>
      <c r="B2" s="101">
        <v>0</v>
      </c>
      <c r="C2" s="101">
        <v>0</v>
      </c>
      <c r="D2" s="101">
        <v>0</v>
      </c>
      <c r="E2" s="101">
        <v>0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</row>
    <row r="3" spans="1:15" x14ac:dyDescent="0.25">
      <c r="A3" s="102">
        <v>41641</v>
      </c>
      <c r="B3" s="101">
        <v>0</v>
      </c>
      <c r="C3" s="101">
        <v>0</v>
      </c>
      <c r="D3" s="101">
        <v>0</v>
      </c>
      <c r="E3" s="101">
        <v>0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</row>
    <row r="4" spans="1:15" x14ac:dyDescent="0.25">
      <c r="A4" s="102">
        <v>41642</v>
      </c>
      <c r="B4" s="101">
        <v>0</v>
      </c>
      <c r="C4" s="101">
        <v>0</v>
      </c>
      <c r="D4" s="101">
        <v>0</v>
      </c>
      <c r="E4" s="101">
        <v>0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</row>
    <row r="5" spans="1:15" x14ac:dyDescent="0.25">
      <c r="A5" s="102">
        <v>41643</v>
      </c>
      <c r="B5" s="101">
        <v>0</v>
      </c>
      <c r="C5" s="101">
        <v>0</v>
      </c>
      <c r="D5" s="101">
        <v>0</v>
      </c>
      <c r="E5" s="101">
        <v>0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</row>
    <row r="6" spans="1:15" x14ac:dyDescent="0.25">
      <c r="A6" s="102">
        <v>41644</v>
      </c>
      <c r="B6" s="101">
        <v>0</v>
      </c>
      <c r="C6" s="101">
        <v>0</v>
      </c>
      <c r="D6" s="101">
        <v>0</v>
      </c>
      <c r="E6" s="101">
        <v>0</v>
      </c>
      <c r="F6" s="101">
        <v>0</v>
      </c>
      <c r="G6" s="101">
        <v>0</v>
      </c>
      <c r="H6" s="101">
        <v>0</v>
      </c>
      <c r="I6" s="101">
        <v>0</v>
      </c>
      <c r="J6" s="101">
        <v>0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</row>
    <row r="7" spans="1:15" x14ac:dyDescent="0.25">
      <c r="A7" s="102">
        <v>41645</v>
      </c>
      <c r="B7" s="101">
        <v>0</v>
      </c>
      <c r="C7" s="101">
        <v>0</v>
      </c>
      <c r="D7" s="101">
        <v>0</v>
      </c>
      <c r="E7" s="101">
        <v>0</v>
      </c>
      <c r="F7" s="101">
        <v>0</v>
      </c>
      <c r="G7" s="101">
        <v>0</v>
      </c>
      <c r="H7" s="101">
        <v>0</v>
      </c>
      <c r="I7" s="101">
        <v>0</v>
      </c>
      <c r="J7" s="101">
        <v>0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</row>
    <row r="8" spans="1:15" x14ac:dyDescent="0.25">
      <c r="A8" s="102">
        <v>41646</v>
      </c>
      <c r="B8" s="101">
        <v>0</v>
      </c>
      <c r="C8" s="101">
        <v>0</v>
      </c>
      <c r="D8" s="101">
        <v>0</v>
      </c>
      <c r="E8" s="101">
        <v>0</v>
      </c>
      <c r="F8" s="101">
        <v>0</v>
      </c>
      <c r="G8" s="101">
        <v>0</v>
      </c>
      <c r="H8" s="101">
        <v>0</v>
      </c>
      <c r="I8" s="101">
        <v>0</v>
      </c>
      <c r="J8" s="101">
        <v>0</v>
      </c>
      <c r="K8" s="101">
        <v>0</v>
      </c>
      <c r="L8" s="101">
        <v>0</v>
      </c>
      <c r="M8" s="101">
        <v>0</v>
      </c>
      <c r="N8" s="101">
        <v>0</v>
      </c>
      <c r="O8" s="101">
        <v>0</v>
      </c>
    </row>
    <row r="9" spans="1:15" x14ac:dyDescent="0.25">
      <c r="A9" s="102">
        <v>41647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N9" s="101">
        <v>0</v>
      </c>
      <c r="O9" s="101">
        <v>0</v>
      </c>
    </row>
    <row r="10" spans="1:15" x14ac:dyDescent="0.25">
      <c r="A10" s="102">
        <v>41648</v>
      </c>
      <c r="B10" s="101">
        <v>0</v>
      </c>
      <c r="C10" s="101">
        <v>0</v>
      </c>
      <c r="D10" s="101">
        <v>0</v>
      </c>
      <c r="E10" s="101">
        <v>0</v>
      </c>
      <c r="F10" s="101">
        <v>0</v>
      </c>
      <c r="G10" s="101">
        <v>0</v>
      </c>
      <c r="H10" s="101">
        <v>0</v>
      </c>
      <c r="I10" s="101">
        <v>0</v>
      </c>
      <c r="J10" s="101">
        <v>0</v>
      </c>
      <c r="K10" s="101">
        <v>0</v>
      </c>
      <c r="L10" s="101">
        <v>0</v>
      </c>
      <c r="M10" s="101">
        <v>0</v>
      </c>
      <c r="N10" s="101">
        <v>0</v>
      </c>
      <c r="O10" s="101">
        <v>0</v>
      </c>
    </row>
    <row r="11" spans="1:15" x14ac:dyDescent="0.25">
      <c r="A11" s="102">
        <v>41649</v>
      </c>
      <c r="B11" s="101">
        <v>0</v>
      </c>
      <c r="C11" s="101">
        <v>0</v>
      </c>
      <c r="D11" s="101">
        <v>0</v>
      </c>
      <c r="E11" s="101">
        <v>0</v>
      </c>
      <c r="F11" s="101">
        <v>0</v>
      </c>
      <c r="G11" s="101">
        <v>0</v>
      </c>
      <c r="H11" s="101">
        <v>0</v>
      </c>
      <c r="I11" s="101">
        <v>0</v>
      </c>
      <c r="J11" s="101">
        <v>0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</row>
    <row r="12" spans="1:15" x14ac:dyDescent="0.25">
      <c r="A12" s="102">
        <v>41650</v>
      </c>
      <c r="B12" s="101">
        <v>0</v>
      </c>
      <c r="C12" s="101">
        <v>0</v>
      </c>
      <c r="D12" s="101">
        <v>0</v>
      </c>
      <c r="E12" s="101">
        <v>0</v>
      </c>
      <c r="F12" s="101">
        <v>0</v>
      </c>
      <c r="G12" s="101">
        <v>0</v>
      </c>
      <c r="H12" s="101">
        <v>0</v>
      </c>
      <c r="I12" s="101">
        <v>0</v>
      </c>
      <c r="J12" s="101">
        <v>0</v>
      </c>
      <c r="K12" s="101">
        <v>0</v>
      </c>
      <c r="L12" s="101">
        <v>0</v>
      </c>
      <c r="M12" s="101">
        <v>0</v>
      </c>
      <c r="N12" s="101">
        <v>0</v>
      </c>
      <c r="O12" s="101">
        <v>0</v>
      </c>
    </row>
    <row r="13" spans="1:15" x14ac:dyDescent="0.25">
      <c r="A13" s="102">
        <v>41651</v>
      </c>
      <c r="B13" s="101">
        <v>0</v>
      </c>
      <c r="C13" s="101">
        <v>0</v>
      </c>
      <c r="D13" s="101">
        <v>0</v>
      </c>
      <c r="E13" s="101">
        <v>0</v>
      </c>
      <c r="F13" s="101">
        <v>0</v>
      </c>
      <c r="G13" s="101">
        <v>0</v>
      </c>
      <c r="H13" s="101">
        <v>0</v>
      </c>
      <c r="I13" s="101">
        <v>0</v>
      </c>
      <c r="J13" s="101">
        <v>0</v>
      </c>
      <c r="K13" s="101">
        <v>0</v>
      </c>
      <c r="L13" s="101">
        <v>0</v>
      </c>
      <c r="M13" s="101">
        <v>0</v>
      </c>
      <c r="N13" s="101">
        <v>0</v>
      </c>
      <c r="O13" s="101">
        <v>0</v>
      </c>
    </row>
    <row r="14" spans="1:15" x14ac:dyDescent="0.25">
      <c r="A14" s="102">
        <v>41652</v>
      </c>
      <c r="B14" s="101">
        <v>0</v>
      </c>
      <c r="C14" s="101">
        <v>0</v>
      </c>
      <c r="D14" s="101">
        <v>0</v>
      </c>
      <c r="E14" s="101">
        <v>0</v>
      </c>
      <c r="F14" s="101">
        <v>0</v>
      </c>
      <c r="G14" s="101">
        <v>0</v>
      </c>
      <c r="H14" s="101">
        <v>0</v>
      </c>
      <c r="I14" s="101">
        <v>0</v>
      </c>
      <c r="J14" s="101">
        <v>0</v>
      </c>
      <c r="K14" s="101">
        <v>0</v>
      </c>
      <c r="L14" s="101">
        <v>0</v>
      </c>
      <c r="M14" s="101">
        <v>0</v>
      </c>
      <c r="N14" s="101">
        <v>0</v>
      </c>
      <c r="O14" s="101">
        <v>0</v>
      </c>
    </row>
    <row r="15" spans="1:15" x14ac:dyDescent="0.25">
      <c r="A15" s="102">
        <v>41653</v>
      </c>
      <c r="B15" s="101">
        <v>0</v>
      </c>
      <c r="C15" s="101">
        <v>0</v>
      </c>
      <c r="D15" s="101">
        <v>0</v>
      </c>
      <c r="E15" s="101">
        <v>0</v>
      </c>
      <c r="F15" s="101">
        <v>0</v>
      </c>
      <c r="G15" s="101">
        <v>0</v>
      </c>
      <c r="H15" s="101">
        <v>0</v>
      </c>
      <c r="I15" s="101">
        <v>0</v>
      </c>
      <c r="J15" s="101">
        <v>0</v>
      </c>
      <c r="K15" s="101">
        <v>0</v>
      </c>
      <c r="L15" s="101">
        <v>0</v>
      </c>
      <c r="M15" s="101">
        <v>0</v>
      </c>
      <c r="N15" s="101">
        <v>0</v>
      </c>
      <c r="O15" s="101">
        <v>0</v>
      </c>
    </row>
    <row r="16" spans="1:15" x14ac:dyDescent="0.25">
      <c r="A16" s="102">
        <v>41654</v>
      </c>
      <c r="B16" s="101">
        <v>0</v>
      </c>
      <c r="C16" s="101">
        <v>0</v>
      </c>
      <c r="D16" s="101">
        <v>0</v>
      </c>
      <c r="E16" s="101">
        <v>0</v>
      </c>
      <c r="F16" s="101">
        <v>0</v>
      </c>
      <c r="G16" s="101">
        <v>0</v>
      </c>
      <c r="H16" s="101">
        <v>0</v>
      </c>
      <c r="I16" s="101">
        <v>0</v>
      </c>
      <c r="J16" s="101">
        <v>0</v>
      </c>
      <c r="K16" s="101">
        <v>0</v>
      </c>
      <c r="L16" s="101">
        <v>0</v>
      </c>
      <c r="M16" s="101">
        <v>0</v>
      </c>
      <c r="N16" s="101">
        <v>0</v>
      </c>
      <c r="O16" s="101">
        <v>0</v>
      </c>
    </row>
    <row r="17" spans="1:15" x14ac:dyDescent="0.25">
      <c r="A17" s="102">
        <v>41655</v>
      </c>
      <c r="B17" s="101">
        <v>0</v>
      </c>
      <c r="C17" s="101">
        <v>0</v>
      </c>
      <c r="D17" s="101">
        <v>0</v>
      </c>
      <c r="E17" s="101">
        <v>0</v>
      </c>
      <c r="F17" s="101">
        <v>0</v>
      </c>
      <c r="G17" s="101">
        <v>0</v>
      </c>
      <c r="H17" s="101">
        <v>0</v>
      </c>
      <c r="I17" s="101">
        <v>0</v>
      </c>
      <c r="J17" s="101">
        <v>0</v>
      </c>
      <c r="K17" s="101">
        <v>0</v>
      </c>
      <c r="L17" s="101">
        <v>0</v>
      </c>
      <c r="M17" s="101">
        <v>0</v>
      </c>
      <c r="N17" s="101">
        <v>0</v>
      </c>
      <c r="O17" s="101">
        <v>0</v>
      </c>
    </row>
    <row r="18" spans="1:15" x14ac:dyDescent="0.25">
      <c r="A18" s="102">
        <v>41656</v>
      </c>
      <c r="B18" s="101">
        <v>0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</row>
    <row r="19" spans="1:15" x14ac:dyDescent="0.25">
      <c r="A19" s="102">
        <v>41657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</v>
      </c>
      <c r="N19" s="101">
        <v>0</v>
      </c>
      <c r="O19" s="101">
        <v>0</v>
      </c>
    </row>
    <row r="20" spans="1:15" x14ac:dyDescent="0.25">
      <c r="A20" s="102">
        <v>41658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</row>
    <row r="21" spans="1:15" x14ac:dyDescent="0.25">
      <c r="A21" s="102">
        <v>41659</v>
      </c>
      <c r="B21" s="101">
        <v>0</v>
      </c>
      <c r="C21" s="101">
        <v>0</v>
      </c>
      <c r="D21" s="101">
        <v>0</v>
      </c>
      <c r="E21" s="101">
        <v>0</v>
      </c>
      <c r="F21" s="101">
        <v>0</v>
      </c>
      <c r="G21" s="101">
        <v>0</v>
      </c>
      <c r="H21" s="101">
        <v>0</v>
      </c>
      <c r="I21" s="101">
        <v>0</v>
      </c>
      <c r="J21" s="101">
        <v>0</v>
      </c>
      <c r="K21" s="101">
        <v>0</v>
      </c>
      <c r="L21" s="101">
        <v>0</v>
      </c>
      <c r="M21" s="101">
        <v>0</v>
      </c>
      <c r="N21" s="101">
        <v>0</v>
      </c>
      <c r="O21" s="101">
        <v>0</v>
      </c>
    </row>
    <row r="22" spans="1:15" x14ac:dyDescent="0.25">
      <c r="A22" s="102">
        <v>41660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</row>
    <row r="23" spans="1:15" x14ac:dyDescent="0.25">
      <c r="A23" s="102">
        <v>41661</v>
      </c>
      <c r="B23" s="101">
        <v>0</v>
      </c>
      <c r="C23" s="101">
        <v>0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</row>
    <row r="24" spans="1:15" x14ac:dyDescent="0.25">
      <c r="A24" s="102">
        <v>41662</v>
      </c>
      <c r="B24" s="101">
        <v>0</v>
      </c>
      <c r="C24" s="101">
        <v>0</v>
      </c>
      <c r="D24" s="101">
        <v>0</v>
      </c>
      <c r="E24" s="101">
        <v>0</v>
      </c>
      <c r="F24" s="101">
        <v>0</v>
      </c>
      <c r="G24" s="101">
        <v>0</v>
      </c>
      <c r="H24" s="101">
        <v>0</v>
      </c>
      <c r="I24" s="101">
        <v>0</v>
      </c>
      <c r="J24" s="101">
        <v>0</v>
      </c>
      <c r="K24" s="101">
        <v>0</v>
      </c>
      <c r="L24" s="101">
        <v>0</v>
      </c>
      <c r="M24" s="101">
        <v>0</v>
      </c>
      <c r="N24" s="101">
        <v>0</v>
      </c>
      <c r="O24" s="101">
        <v>0</v>
      </c>
    </row>
    <row r="25" spans="1:15" x14ac:dyDescent="0.25">
      <c r="A25" s="102">
        <v>41663</v>
      </c>
      <c r="B25" s="101">
        <v>0</v>
      </c>
      <c r="C25" s="101">
        <v>0</v>
      </c>
      <c r="D25" s="101">
        <v>0</v>
      </c>
      <c r="E25" s="101">
        <v>0</v>
      </c>
      <c r="F25" s="101">
        <v>0</v>
      </c>
      <c r="G25" s="101">
        <v>0</v>
      </c>
      <c r="H25" s="101">
        <v>0</v>
      </c>
      <c r="I25" s="101">
        <v>0</v>
      </c>
      <c r="J25" s="101">
        <v>0</v>
      </c>
      <c r="K25" s="101">
        <v>0</v>
      </c>
      <c r="L25" s="101">
        <v>0</v>
      </c>
      <c r="M25" s="101">
        <v>0</v>
      </c>
      <c r="N25" s="101">
        <v>0</v>
      </c>
      <c r="O25" s="101">
        <v>0</v>
      </c>
    </row>
    <row r="26" spans="1:15" x14ac:dyDescent="0.25">
      <c r="A26" s="102">
        <v>41664</v>
      </c>
      <c r="B26" s="101">
        <v>0</v>
      </c>
      <c r="C26" s="101">
        <v>0</v>
      </c>
      <c r="D26" s="101">
        <v>0</v>
      </c>
      <c r="E26" s="101">
        <v>0</v>
      </c>
      <c r="F26" s="101">
        <v>0</v>
      </c>
      <c r="G26" s="101">
        <v>0</v>
      </c>
      <c r="H26" s="101">
        <v>0</v>
      </c>
      <c r="I26" s="101">
        <v>0</v>
      </c>
      <c r="J26" s="101">
        <v>0</v>
      </c>
      <c r="K26" s="101">
        <v>0</v>
      </c>
      <c r="L26" s="101">
        <v>0</v>
      </c>
      <c r="M26" s="101">
        <v>0</v>
      </c>
      <c r="N26" s="101">
        <v>0</v>
      </c>
      <c r="O26" s="101">
        <v>0</v>
      </c>
    </row>
    <row r="27" spans="1:15" x14ac:dyDescent="0.25">
      <c r="A27" s="102">
        <v>41665</v>
      </c>
      <c r="B27" s="101">
        <v>0</v>
      </c>
      <c r="C27" s="101">
        <v>0</v>
      </c>
      <c r="D27" s="101">
        <v>0</v>
      </c>
      <c r="E27" s="101">
        <v>0</v>
      </c>
      <c r="F27" s="101">
        <v>0</v>
      </c>
      <c r="G27" s="101">
        <v>0</v>
      </c>
      <c r="H27" s="101">
        <v>0</v>
      </c>
      <c r="I27" s="101">
        <v>0</v>
      </c>
      <c r="J27" s="101">
        <v>0</v>
      </c>
      <c r="K27" s="101">
        <v>0</v>
      </c>
      <c r="L27" s="101">
        <v>0</v>
      </c>
      <c r="M27" s="101">
        <v>0</v>
      </c>
      <c r="N27" s="101">
        <v>0</v>
      </c>
      <c r="O27" s="101">
        <v>0</v>
      </c>
    </row>
    <row r="28" spans="1:15" x14ac:dyDescent="0.25">
      <c r="A28" s="102">
        <v>41666</v>
      </c>
      <c r="B28" s="101">
        <v>0</v>
      </c>
      <c r="C28" s="101">
        <v>0</v>
      </c>
      <c r="D28" s="101">
        <v>0</v>
      </c>
      <c r="E28" s="101">
        <v>0</v>
      </c>
      <c r="F28" s="101">
        <v>0</v>
      </c>
      <c r="G28" s="101">
        <v>0</v>
      </c>
      <c r="H28" s="101">
        <v>0</v>
      </c>
      <c r="I28" s="101">
        <v>0</v>
      </c>
      <c r="J28" s="101">
        <v>0</v>
      </c>
      <c r="K28" s="101">
        <v>0</v>
      </c>
      <c r="L28" s="101">
        <v>0</v>
      </c>
      <c r="M28" s="101">
        <v>0</v>
      </c>
      <c r="N28" s="101">
        <v>0</v>
      </c>
      <c r="O28" s="101">
        <v>0</v>
      </c>
    </row>
    <row r="29" spans="1:15" x14ac:dyDescent="0.25">
      <c r="A29" s="102">
        <v>41667</v>
      </c>
      <c r="B29" s="101">
        <v>0</v>
      </c>
      <c r="C29" s="101">
        <v>0</v>
      </c>
      <c r="D29" s="101">
        <v>0</v>
      </c>
      <c r="E29" s="101">
        <v>0</v>
      </c>
      <c r="F29" s="101">
        <v>0</v>
      </c>
      <c r="G29" s="101">
        <v>0</v>
      </c>
      <c r="H29" s="101">
        <v>0</v>
      </c>
      <c r="I29" s="101">
        <v>0</v>
      </c>
      <c r="J29" s="101">
        <v>0</v>
      </c>
      <c r="K29" s="101">
        <v>0</v>
      </c>
      <c r="L29" s="101">
        <v>0</v>
      </c>
      <c r="M29" s="101">
        <v>0</v>
      </c>
      <c r="N29" s="101">
        <v>0</v>
      </c>
      <c r="O29" s="101">
        <v>0</v>
      </c>
    </row>
    <row r="30" spans="1:15" x14ac:dyDescent="0.25">
      <c r="A30" s="102">
        <v>41668</v>
      </c>
      <c r="B30" s="101">
        <v>0</v>
      </c>
      <c r="C30" s="101">
        <v>0</v>
      </c>
      <c r="D30" s="101">
        <v>0</v>
      </c>
      <c r="E30" s="101">
        <v>0</v>
      </c>
      <c r="F30" s="101">
        <v>0</v>
      </c>
      <c r="G30" s="101">
        <v>0</v>
      </c>
      <c r="H30" s="101">
        <v>0</v>
      </c>
      <c r="I30" s="101">
        <v>0</v>
      </c>
      <c r="J30" s="101">
        <v>0</v>
      </c>
      <c r="K30" s="101">
        <v>0</v>
      </c>
      <c r="L30" s="101">
        <v>0</v>
      </c>
      <c r="M30" s="101">
        <v>0</v>
      </c>
      <c r="N30" s="101">
        <v>0</v>
      </c>
      <c r="O30" s="101">
        <v>0</v>
      </c>
    </row>
    <row r="31" spans="1:15" x14ac:dyDescent="0.25">
      <c r="A31" s="102">
        <v>41669</v>
      </c>
      <c r="B31" s="101">
        <v>0</v>
      </c>
      <c r="C31" s="101">
        <v>0</v>
      </c>
      <c r="D31" s="101">
        <v>0</v>
      </c>
      <c r="E31" s="101">
        <v>0</v>
      </c>
      <c r="F31" s="101">
        <v>0</v>
      </c>
      <c r="G31" s="101">
        <v>0</v>
      </c>
      <c r="H31" s="101">
        <v>0</v>
      </c>
      <c r="I31" s="101">
        <v>0</v>
      </c>
      <c r="J31" s="101">
        <v>0</v>
      </c>
      <c r="K31" s="101">
        <v>0</v>
      </c>
      <c r="L31" s="101">
        <v>0</v>
      </c>
      <c r="M31" s="101">
        <v>0</v>
      </c>
      <c r="N31" s="101">
        <v>0</v>
      </c>
      <c r="O31" s="101">
        <v>0</v>
      </c>
    </row>
    <row r="32" spans="1:15" x14ac:dyDescent="0.25">
      <c r="A32" s="102">
        <v>41670</v>
      </c>
      <c r="B32" s="101">
        <v>0</v>
      </c>
      <c r="C32" s="101">
        <v>0</v>
      </c>
      <c r="D32" s="101">
        <v>0</v>
      </c>
      <c r="E32" s="101">
        <v>0</v>
      </c>
      <c r="F32" s="101">
        <v>0</v>
      </c>
      <c r="G32" s="101">
        <v>0</v>
      </c>
      <c r="H32" s="101">
        <v>0</v>
      </c>
      <c r="I32" s="101">
        <v>0</v>
      </c>
      <c r="J32" s="101">
        <v>0</v>
      </c>
      <c r="K32" s="101">
        <v>0</v>
      </c>
      <c r="L32" s="101">
        <v>0</v>
      </c>
      <c r="M32" s="101">
        <v>0</v>
      </c>
      <c r="N32" s="101">
        <v>0</v>
      </c>
      <c r="O32" s="101">
        <v>0</v>
      </c>
    </row>
    <row r="33" spans="1:15" x14ac:dyDescent="0.25">
      <c r="A33" s="102">
        <v>41671</v>
      </c>
      <c r="B33" s="101">
        <v>0</v>
      </c>
      <c r="C33" s="101">
        <v>0</v>
      </c>
      <c r="D33" s="101">
        <v>0</v>
      </c>
      <c r="E33" s="101">
        <v>0</v>
      </c>
      <c r="F33" s="101">
        <v>0</v>
      </c>
      <c r="G33" s="101">
        <v>0</v>
      </c>
      <c r="H33" s="101">
        <v>0</v>
      </c>
      <c r="I33" s="101">
        <v>0</v>
      </c>
      <c r="J33" s="101">
        <v>0</v>
      </c>
      <c r="K33" s="101">
        <v>0</v>
      </c>
      <c r="L33" s="101">
        <v>0</v>
      </c>
      <c r="M33" s="101">
        <v>0</v>
      </c>
      <c r="N33" s="101">
        <v>0</v>
      </c>
      <c r="O33" s="101">
        <v>0</v>
      </c>
    </row>
    <row r="34" spans="1:15" x14ac:dyDescent="0.25">
      <c r="A34" s="102">
        <v>41672</v>
      </c>
      <c r="B34" s="101">
        <v>0</v>
      </c>
      <c r="C34" s="101">
        <v>0</v>
      </c>
      <c r="D34" s="101">
        <v>0</v>
      </c>
      <c r="E34" s="101">
        <v>0</v>
      </c>
      <c r="F34" s="101">
        <v>0</v>
      </c>
      <c r="G34" s="101">
        <v>0</v>
      </c>
      <c r="H34" s="101">
        <v>0</v>
      </c>
      <c r="I34" s="101">
        <v>0</v>
      </c>
      <c r="J34" s="101">
        <v>0</v>
      </c>
      <c r="K34" s="101">
        <v>0</v>
      </c>
      <c r="L34" s="101">
        <v>0</v>
      </c>
      <c r="M34" s="101">
        <v>0</v>
      </c>
      <c r="N34" s="101">
        <v>0</v>
      </c>
      <c r="O34" s="101">
        <v>0</v>
      </c>
    </row>
    <row r="35" spans="1:15" x14ac:dyDescent="0.25">
      <c r="A35" s="102">
        <v>41673</v>
      </c>
      <c r="B35" s="101">
        <v>0</v>
      </c>
      <c r="C35" s="101">
        <v>0</v>
      </c>
      <c r="D35" s="101">
        <v>0</v>
      </c>
      <c r="E35" s="101">
        <v>0</v>
      </c>
      <c r="F35" s="101">
        <v>0</v>
      </c>
      <c r="G35" s="101">
        <v>0</v>
      </c>
      <c r="H35" s="101">
        <v>0</v>
      </c>
      <c r="I35" s="101">
        <v>0</v>
      </c>
      <c r="J35" s="101">
        <v>0</v>
      </c>
      <c r="K35" s="101">
        <v>0</v>
      </c>
      <c r="L35" s="101">
        <v>0</v>
      </c>
      <c r="M35" s="101">
        <v>0</v>
      </c>
      <c r="N35" s="101">
        <v>0</v>
      </c>
      <c r="O35" s="101">
        <v>0</v>
      </c>
    </row>
    <row r="36" spans="1:15" x14ac:dyDescent="0.25">
      <c r="A36" s="102">
        <v>41674</v>
      </c>
      <c r="B36" s="101">
        <v>0</v>
      </c>
      <c r="C36" s="101">
        <v>0</v>
      </c>
      <c r="D36" s="101">
        <v>0</v>
      </c>
      <c r="E36" s="101">
        <v>0</v>
      </c>
      <c r="F36" s="101">
        <v>0</v>
      </c>
      <c r="G36" s="101">
        <v>0</v>
      </c>
      <c r="H36" s="101">
        <v>0</v>
      </c>
      <c r="I36" s="101">
        <v>0</v>
      </c>
      <c r="J36" s="101">
        <v>0</v>
      </c>
      <c r="K36" s="101">
        <v>0</v>
      </c>
      <c r="L36" s="101">
        <v>0</v>
      </c>
      <c r="M36" s="101">
        <v>0</v>
      </c>
      <c r="N36" s="101">
        <v>0</v>
      </c>
      <c r="O36" s="101">
        <v>0</v>
      </c>
    </row>
    <row r="37" spans="1:15" x14ac:dyDescent="0.25">
      <c r="A37" s="102">
        <v>41675</v>
      </c>
      <c r="B37" s="101">
        <v>0</v>
      </c>
      <c r="C37" s="101">
        <v>0</v>
      </c>
      <c r="D37" s="101">
        <v>0</v>
      </c>
      <c r="E37" s="101">
        <v>0</v>
      </c>
      <c r="F37" s="101">
        <v>0</v>
      </c>
      <c r="G37" s="101">
        <v>0</v>
      </c>
      <c r="H37" s="101">
        <v>0</v>
      </c>
      <c r="I37" s="101">
        <v>0</v>
      </c>
      <c r="J37" s="101">
        <v>0</v>
      </c>
      <c r="K37" s="101">
        <v>0</v>
      </c>
      <c r="L37" s="101">
        <v>0</v>
      </c>
      <c r="M37" s="101">
        <v>0</v>
      </c>
      <c r="N37" s="101">
        <v>0</v>
      </c>
      <c r="O37" s="101">
        <v>0</v>
      </c>
    </row>
    <row r="38" spans="1:15" x14ac:dyDescent="0.25">
      <c r="A38" s="102">
        <v>41676</v>
      </c>
      <c r="B38" s="101">
        <v>0</v>
      </c>
      <c r="C38" s="101">
        <v>0</v>
      </c>
      <c r="D38" s="101">
        <v>0</v>
      </c>
      <c r="E38" s="101">
        <v>0</v>
      </c>
      <c r="F38" s="101">
        <v>0</v>
      </c>
      <c r="G38" s="101">
        <v>0</v>
      </c>
      <c r="H38" s="101">
        <v>0</v>
      </c>
      <c r="I38" s="101">
        <v>0</v>
      </c>
      <c r="J38" s="101">
        <v>0</v>
      </c>
      <c r="K38" s="101">
        <v>0</v>
      </c>
      <c r="L38" s="101">
        <v>0</v>
      </c>
      <c r="M38" s="101">
        <v>0</v>
      </c>
      <c r="N38" s="101">
        <v>0</v>
      </c>
      <c r="O38" s="101">
        <v>0</v>
      </c>
    </row>
    <row r="39" spans="1:15" x14ac:dyDescent="0.25">
      <c r="A39" s="102">
        <v>41677</v>
      </c>
      <c r="B39" s="101">
        <v>0</v>
      </c>
      <c r="C39" s="101">
        <v>0</v>
      </c>
      <c r="D39" s="101">
        <v>0</v>
      </c>
      <c r="E39" s="101">
        <v>0</v>
      </c>
      <c r="F39" s="101">
        <v>0</v>
      </c>
      <c r="G39" s="101">
        <v>0</v>
      </c>
      <c r="H39" s="101">
        <v>0</v>
      </c>
      <c r="I39" s="101">
        <v>0</v>
      </c>
      <c r="J39" s="101">
        <v>0</v>
      </c>
      <c r="K39" s="101">
        <v>0</v>
      </c>
      <c r="L39" s="101">
        <v>0</v>
      </c>
      <c r="M39" s="101">
        <v>0</v>
      </c>
      <c r="N39" s="101">
        <v>0</v>
      </c>
      <c r="O39" s="101">
        <v>0</v>
      </c>
    </row>
    <row r="40" spans="1:15" x14ac:dyDescent="0.25">
      <c r="A40" s="102">
        <v>41678</v>
      </c>
      <c r="B40" s="101">
        <v>0</v>
      </c>
      <c r="C40" s="101">
        <v>0</v>
      </c>
      <c r="D40" s="101">
        <v>0</v>
      </c>
      <c r="E40" s="101">
        <v>0</v>
      </c>
      <c r="F40" s="101">
        <v>0</v>
      </c>
      <c r="G40" s="101">
        <v>0</v>
      </c>
      <c r="H40" s="101">
        <v>0</v>
      </c>
      <c r="I40" s="101">
        <v>0</v>
      </c>
      <c r="J40" s="101">
        <v>0</v>
      </c>
      <c r="K40" s="101">
        <v>0</v>
      </c>
      <c r="L40" s="101">
        <v>0</v>
      </c>
      <c r="M40" s="101">
        <v>0</v>
      </c>
      <c r="N40" s="101">
        <v>0</v>
      </c>
      <c r="O40" s="101">
        <v>0</v>
      </c>
    </row>
    <row r="41" spans="1:15" x14ac:dyDescent="0.25">
      <c r="A41" s="102">
        <v>41679</v>
      </c>
      <c r="B41" s="101">
        <v>0</v>
      </c>
      <c r="C41" s="101">
        <v>0</v>
      </c>
      <c r="D41" s="101">
        <v>0</v>
      </c>
      <c r="E41" s="101">
        <v>0</v>
      </c>
      <c r="F41" s="101">
        <v>0</v>
      </c>
      <c r="G41" s="101">
        <v>0</v>
      </c>
      <c r="H41" s="101">
        <v>0</v>
      </c>
      <c r="I41" s="101">
        <v>0</v>
      </c>
      <c r="J41" s="101">
        <v>0</v>
      </c>
      <c r="K41" s="101">
        <v>0</v>
      </c>
      <c r="L41" s="101">
        <v>0</v>
      </c>
      <c r="M41" s="101">
        <v>0</v>
      </c>
      <c r="N41" s="101">
        <v>0</v>
      </c>
      <c r="O41" s="101">
        <v>0</v>
      </c>
    </row>
    <row r="42" spans="1:15" x14ac:dyDescent="0.25">
      <c r="A42" s="102">
        <v>41680</v>
      </c>
      <c r="B42" s="101">
        <v>0</v>
      </c>
      <c r="C42" s="101">
        <v>0</v>
      </c>
      <c r="D42" s="101">
        <v>0</v>
      </c>
      <c r="E42" s="101">
        <v>0</v>
      </c>
      <c r="F42" s="101">
        <v>0</v>
      </c>
      <c r="G42" s="101">
        <v>0</v>
      </c>
      <c r="H42" s="101">
        <v>0</v>
      </c>
      <c r="I42" s="101">
        <v>0</v>
      </c>
      <c r="J42" s="101">
        <v>0</v>
      </c>
      <c r="K42" s="101">
        <v>0</v>
      </c>
      <c r="L42" s="101">
        <v>0</v>
      </c>
      <c r="M42" s="101">
        <v>0</v>
      </c>
      <c r="N42" s="101">
        <v>0</v>
      </c>
      <c r="O42" s="101">
        <v>0</v>
      </c>
    </row>
    <row r="43" spans="1:15" x14ac:dyDescent="0.25">
      <c r="A43" s="102">
        <v>41681</v>
      </c>
      <c r="B43" s="101">
        <v>0</v>
      </c>
      <c r="C43" s="101">
        <v>0</v>
      </c>
      <c r="D43" s="101">
        <v>0</v>
      </c>
      <c r="E43" s="101">
        <v>0</v>
      </c>
      <c r="F43" s="101">
        <v>0</v>
      </c>
      <c r="G43" s="101">
        <v>0</v>
      </c>
      <c r="H43" s="101">
        <v>0</v>
      </c>
      <c r="I43" s="101">
        <v>0</v>
      </c>
      <c r="J43" s="101">
        <v>0</v>
      </c>
      <c r="K43" s="101">
        <v>0</v>
      </c>
      <c r="L43" s="101">
        <v>0</v>
      </c>
      <c r="M43" s="101">
        <v>0</v>
      </c>
      <c r="N43" s="101">
        <v>0</v>
      </c>
      <c r="O43" s="101">
        <v>0</v>
      </c>
    </row>
    <row r="44" spans="1:15" x14ac:dyDescent="0.25">
      <c r="A44" s="102">
        <v>41682</v>
      </c>
      <c r="B44" s="101">
        <v>0</v>
      </c>
      <c r="C44" s="101">
        <v>0</v>
      </c>
      <c r="D44" s="101">
        <v>0</v>
      </c>
      <c r="E44" s="101">
        <v>0</v>
      </c>
      <c r="F44" s="101">
        <v>0</v>
      </c>
      <c r="G44" s="101">
        <v>0</v>
      </c>
      <c r="H44" s="101">
        <v>0</v>
      </c>
      <c r="I44" s="101">
        <v>0</v>
      </c>
      <c r="J44" s="101">
        <v>0</v>
      </c>
      <c r="K44" s="101">
        <v>0</v>
      </c>
      <c r="L44" s="101">
        <v>0</v>
      </c>
      <c r="M44" s="101">
        <v>0</v>
      </c>
      <c r="N44" s="101">
        <v>0</v>
      </c>
      <c r="O44" s="101">
        <v>0</v>
      </c>
    </row>
    <row r="45" spans="1:15" x14ac:dyDescent="0.25">
      <c r="A45" s="102">
        <v>41683</v>
      </c>
      <c r="B45" s="101">
        <v>0</v>
      </c>
      <c r="C45" s="101">
        <v>0</v>
      </c>
      <c r="D45" s="101">
        <v>0</v>
      </c>
      <c r="E45" s="101">
        <v>0</v>
      </c>
      <c r="F45" s="101">
        <v>0</v>
      </c>
      <c r="G45" s="101">
        <v>0</v>
      </c>
      <c r="H45" s="101">
        <v>0</v>
      </c>
      <c r="I45" s="101">
        <v>0</v>
      </c>
      <c r="J45" s="101">
        <v>0</v>
      </c>
      <c r="K45" s="101">
        <v>0</v>
      </c>
      <c r="L45" s="101">
        <v>0</v>
      </c>
      <c r="M45" s="101">
        <v>0</v>
      </c>
      <c r="N45" s="101">
        <v>0</v>
      </c>
      <c r="O45" s="101">
        <v>0</v>
      </c>
    </row>
    <row r="46" spans="1:15" x14ac:dyDescent="0.25">
      <c r="A46" s="102">
        <v>41684</v>
      </c>
      <c r="B46" s="101">
        <v>0</v>
      </c>
      <c r="C46" s="101">
        <v>0</v>
      </c>
      <c r="D46" s="101">
        <v>0</v>
      </c>
      <c r="E46" s="101">
        <v>0</v>
      </c>
      <c r="F46" s="101">
        <v>0</v>
      </c>
      <c r="G46" s="101">
        <v>0</v>
      </c>
      <c r="H46" s="101">
        <v>0</v>
      </c>
      <c r="I46" s="101">
        <v>0</v>
      </c>
      <c r="J46" s="101">
        <v>0</v>
      </c>
      <c r="K46" s="101">
        <v>0</v>
      </c>
      <c r="L46" s="101">
        <v>0</v>
      </c>
      <c r="M46" s="101">
        <v>0</v>
      </c>
      <c r="N46" s="101">
        <v>0</v>
      </c>
      <c r="O46" s="101">
        <v>0</v>
      </c>
    </row>
    <row r="47" spans="1:15" x14ac:dyDescent="0.25">
      <c r="A47" s="102">
        <v>41685</v>
      </c>
      <c r="B47" s="101">
        <v>0</v>
      </c>
      <c r="C47" s="101">
        <v>0</v>
      </c>
      <c r="D47" s="101">
        <v>0</v>
      </c>
      <c r="E47" s="101">
        <v>0</v>
      </c>
      <c r="F47" s="101">
        <v>0</v>
      </c>
      <c r="G47" s="101">
        <v>0</v>
      </c>
      <c r="H47" s="101">
        <v>0</v>
      </c>
      <c r="I47" s="101">
        <v>0</v>
      </c>
      <c r="J47" s="101">
        <v>0</v>
      </c>
      <c r="K47" s="101">
        <v>0</v>
      </c>
      <c r="L47" s="101">
        <v>0</v>
      </c>
      <c r="M47" s="101">
        <v>0</v>
      </c>
      <c r="N47" s="101">
        <v>0</v>
      </c>
      <c r="O47" s="101">
        <v>0</v>
      </c>
    </row>
    <row r="48" spans="1:15" x14ac:dyDescent="0.25">
      <c r="A48" s="102">
        <v>41686</v>
      </c>
      <c r="B48" s="101">
        <v>0</v>
      </c>
      <c r="C48" s="101">
        <v>0</v>
      </c>
      <c r="D48" s="101">
        <v>0</v>
      </c>
      <c r="E48" s="101">
        <v>0</v>
      </c>
      <c r="F48" s="101">
        <v>0</v>
      </c>
      <c r="G48" s="101">
        <v>0</v>
      </c>
      <c r="H48" s="101">
        <v>0</v>
      </c>
      <c r="I48" s="101">
        <v>0</v>
      </c>
      <c r="J48" s="101">
        <v>0</v>
      </c>
      <c r="K48" s="101">
        <v>0</v>
      </c>
      <c r="L48" s="101">
        <v>0</v>
      </c>
      <c r="M48" s="101">
        <v>0</v>
      </c>
      <c r="N48" s="101">
        <v>0</v>
      </c>
      <c r="O48" s="101">
        <v>0</v>
      </c>
    </row>
    <row r="49" spans="1:15" x14ac:dyDescent="0.25">
      <c r="A49" s="102">
        <v>41687</v>
      </c>
      <c r="B49" s="101">
        <v>0</v>
      </c>
      <c r="C49" s="101">
        <v>0</v>
      </c>
      <c r="D49" s="101">
        <v>0</v>
      </c>
      <c r="E49" s="101">
        <v>0</v>
      </c>
      <c r="F49" s="101">
        <v>0</v>
      </c>
      <c r="G49" s="101">
        <v>0</v>
      </c>
      <c r="H49" s="101">
        <v>0</v>
      </c>
      <c r="I49" s="101">
        <v>0</v>
      </c>
      <c r="J49" s="101">
        <v>0</v>
      </c>
      <c r="K49" s="101">
        <v>0</v>
      </c>
      <c r="L49" s="101">
        <v>0</v>
      </c>
      <c r="M49" s="101">
        <v>0</v>
      </c>
      <c r="N49" s="101">
        <v>0</v>
      </c>
      <c r="O49" s="101">
        <v>0</v>
      </c>
    </row>
    <row r="50" spans="1:15" x14ac:dyDescent="0.25">
      <c r="A50" s="102">
        <v>41688</v>
      </c>
      <c r="B50" s="101">
        <v>0</v>
      </c>
      <c r="C50" s="101">
        <v>0</v>
      </c>
      <c r="D50" s="101">
        <v>0</v>
      </c>
      <c r="E50" s="101">
        <v>0</v>
      </c>
      <c r="F50" s="101">
        <v>0</v>
      </c>
      <c r="G50" s="101">
        <v>0</v>
      </c>
      <c r="H50" s="101">
        <v>0</v>
      </c>
      <c r="I50" s="101">
        <v>0</v>
      </c>
      <c r="J50" s="101">
        <v>0</v>
      </c>
      <c r="K50" s="101">
        <v>0</v>
      </c>
      <c r="L50" s="101">
        <v>0</v>
      </c>
      <c r="M50" s="101">
        <v>0</v>
      </c>
      <c r="N50" s="101">
        <v>0</v>
      </c>
      <c r="O50" s="101">
        <v>0</v>
      </c>
    </row>
    <row r="51" spans="1:15" x14ac:dyDescent="0.25">
      <c r="A51" s="102">
        <v>41689</v>
      </c>
      <c r="B51" s="101">
        <v>0</v>
      </c>
      <c r="C51" s="101">
        <v>0</v>
      </c>
      <c r="D51" s="101">
        <v>0</v>
      </c>
      <c r="E51" s="101">
        <v>0</v>
      </c>
      <c r="F51" s="101">
        <v>0</v>
      </c>
      <c r="G51" s="101">
        <v>0</v>
      </c>
      <c r="H51" s="101">
        <v>0</v>
      </c>
      <c r="I51" s="101">
        <v>0</v>
      </c>
      <c r="J51" s="101">
        <v>0</v>
      </c>
      <c r="K51" s="101">
        <v>0</v>
      </c>
      <c r="L51" s="101">
        <v>0</v>
      </c>
      <c r="M51" s="101">
        <v>0</v>
      </c>
      <c r="N51" s="101">
        <v>0</v>
      </c>
      <c r="O51" s="101">
        <v>0</v>
      </c>
    </row>
    <row r="52" spans="1:15" x14ac:dyDescent="0.25">
      <c r="A52" s="102">
        <v>41690</v>
      </c>
      <c r="B52" s="101">
        <v>0</v>
      </c>
      <c r="C52" s="101">
        <v>0</v>
      </c>
      <c r="D52" s="101">
        <v>0</v>
      </c>
      <c r="E52" s="101">
        <v>0</v>
      </c>
      <c r="F52" s="101">
        <v>0</v>
      </c>
      <c r="G52" s="101">
        <v>0</v>
      </c>
      <c r="H52" s="101">
        <v>0</v>
      </c>
      <c r="I52" s="101">
        <v>0</v>
      </c>
      <c r="J52" s="101">
        <v>0</v>
      </c>
      <c r="K52" s="101">
        <v>0</v>
      </c>
      <c r="L52" s="101">
        <v>0</v>
      </c>
      <c r="M52" s="101">
        <v>0</v>
      </c>
      <c r="N52" s="101">
        <v>0</v>
      </c>
      <c r="O52" s="101">
        <v>0</v>
      </c>
    </row>
    <row r="53" spans="1:15" x14ac:dyDescent="0.25">
      <c r="A53" s="102">
        <v>41691</v>
      </c>
      <c r="B53" s="101">
        <v>0</v>
      </c>
      <c r="C53" s="101">
        <v>0</v>
      </c>
      <c r="D53" s="101">
        <v>0</v>
      </c>
      <c r="E53" s="101">
        <v>0</v>
      </c>
      <c r="F53" s="101">
        <v>0</v>
      </c>
      <c r="G53" s="101">
        <v>0</v>
      </c>
      <c r="H53" s="101">
        <v>0</v>
      </c>
      <c r="I53" s="101">
        <v>0</v>
      </c>
      <c r="J53" s="101">
        <v>0</v>
      </c>
      <c r="K53" s="101">
        <v>0</v>
      </c>
      <c r="L53" s="101">
        <v>0</v>
      </c>
      <c r="M53" s="101">
        <v>0</v>
      </c>
      <c r="N53" s="101">
        <v>0</v>
      </c>
      <c r="O53" s="101">
        <v>0</v>
      </c>
    </row>
    <row r="54" spans="1:15" x14ac:dyDescent="0.25">
      <c r="A54" s="102">
        <v>41692</v>
      </c>
      <c r="B54" s="101">
        <v>0</v>
      </c>
      <c r="C54" s="101">
        <v>0</v>
      </c>
      <c r="D54" s="101">
        <v>0</v>
      </c>
      <c r="E54" s="101">
        <v>0</v>
      </c>
      <c r="F54" s="101">
        <v>0</v>
      </c>
      <c r="G54" s="101">
        <v>0</v>
      </c>
      <c r="H54" s="101">
        <v>0</v>
      </c>
      <c r="I54" s="101">
        <v>0</v>
      </c>
      <c r="J54" s="101">
        <v>0</v>
      </c>
      <c r="K54" s="101">
        <v>0</v>
      </c>
      <c r="L54" s="101">
        <v>0</v>
      </c>
      <c r="M54" s="101">
        <v>0</v>
      </c>
      <c r="N54" s="101">
        <v>0</v>
      </c>
      <c r="O54" s="101">
        <v>0</v>
      </c>
    </row>
    <row r="55" spans="1:15" x14ac:dyDescent="0.25">
      <c r="A55" s="102">
        <v>41693</v>
      </c>
      <c r="B55" s="101">
        <v>0</v>
      </c>
      <c r="C55" s="101">
        <v>0</v>
      </c>
      <c r="D55" s="101">
        <v>0</v>
      </c>
      <c r="E55" s="101">
        <v>0</v>
      </c>
      <c r="F55" s="101">
        <v>0</v>
      </c>
      <c r="G55" s="101">
        <v>0</v>
      </c>
      <c r="H55" s="101">
        <v>0</v>
      </c>
      <c r="I55" s="101">
        <v>0</v>
      </c>
      <c r="J55" s="101">
        <v>0</v>
      </c>
      <c r="K55" s="101">
        <v>0</v>
      </c>
      <c r="L55" s="101">
        <v>0</v>
      </c>
      <c r="M55" s="101">
        <v>0</v>
      </c>
      <c r="N55" s="101">
        <v>0</v>
      </c>
      <c r="O55" s="101">
        <v>0</v>
      </c>
    </row>
    <row r="56" spans="1:15" x14ac:dyDescent="0.25">
      <c r="A56" s="102">
        <v>41694</v>
      </c>
      <c r="B56" s="101">
        <v>0</v>
      </c>
      <c r="C56" s="101">
        <v>0</v>
      </c>
      <c r="D56" s="101">
        <v>0</v>
      </c>
      <c r="E56" s="101">
        <v>0</v>
      </c>
      <c r="F56" s="101">
        <v>0</v>
      </c>
      <c r="G56" s="101">
        <v>0</v>
      </c>
      <c r="H56" s="101">
        <v>0</v>
      </c>
      <c r="I56" s="101">
        <v>0</v>
      </c>
      <c r="J56" s="101">
        <v>0</v>
      </c>
      <c r="K56" s="101">
        <v>0</v>
      </c>
      <c r="L56" s="101">
        <v>0</v>
      </c>
      <c r="M56" s="101">
        <v>0</v>
      </c>
      <c r="N56" s="101">
        <v>0</v>
      </c>
      <c r="O56" s="101">
        <v>0</v>
      </c>
    </row>
    <row r="57" spans="1:15" x14ac:dyDescent="0.25">
      <c r="A57" s="102">
        <v>41695</v>
      </c>
      <c r="B57" s="101">
        <v>0</v>
      </c>
      <c r="C57" s="101">
        <v>0</v>
      </c>
      <c r="D57" s="101">
        <v>0</v>
      </c>
      <c r="E57" s="101">
        <v>0</v>
      </c>
      <c r="F57" s="101">
        <v>0</v>
      </c>
      <c r="G57" s="101">
        <v>0</v>
      </c>
      <c r="H57" s="101">
        <v>0</v>
      </c>
      <c r="I57" s="101">
        <v>0</v>
      </c>
      <c r="J57" s="101">
        <v>0</v>
      </c>
      <c r="K57" s="101">
        <v>0</v>
      </c>
      <c r="L57" s="101">
        <v>0</v>
      </c>
      <c r="M57" s="101">
        <v>0</v>
      </c>
      <c r="N57" s="101">
        <v>0</v>
      </c>
      <c r="O57" s="101">
        <v>0</v>
      </c>
    </row>
    <row r="58" spans="1:15" x14ac:dyDescent="0.25">
      <c r="A58" s="102">
        <v>41696</v>
      </c>
      <c r="B58" s="101">
        <v>0</v>
      </c>
      <c r="C58" s="101">
        <v>0</v>
      </c>
      <c r="D58" s="101">
        <v>0</v>
      </c>
      <c r="E58" s="101">
        <v>0</v>
      </c>
      <c r="F58" s="101">
        <v>0</v>
      </c>
      <c r="G58" s="101">
        <v>0</v>
      </c>
      <c r="H58" s="101">
        <v>0</v>
      </c>
      <c r="I58" s="101">
        <v>0</v>
      </c>
      <c r="J58" s="101">
        <v>0</v>
      </c>
      <c r="K58" s="101">
        <v>0</v>
      </c>
      <c r="L58" s="101">
        <v>0</v>
      </c>
      <c r="M58" s="101">
        <v>0</v>
      </c>
      <c r="N58" s="101">
        <v>0</v>
      </c>
      <c r="O58" s="101">
        <v>0</v>
      </c>
    </row>
    <row r="59" spans="1:15" x14ac:dyDescent="0.25">
      <c r="A59" s="102">
        <v>41697</v>
      </c>
      <c r="B59" s="101">
        <v>0</v>
      </c>
      <c r="C59" s="101">
        <v>0</v>
      </c>
      <c r="D59" s="101">
        <v>0</v>
      </c>
      <c r="E59" s="101">
        <v>0</v>
      </c>
      <c r="F59" s="101">
        <v>0</v>
      </c>
      <c r="G59" s="101">
        <v>0</v>
      </c>
      <c r="H59" s="101">
        <v>0</v>
      </c>
      <c r="I59" s="101">
        <v>0</v>
      </c>
      <c r="J59" s="101">
        <v>0</v>
      </c>
      <c r="K59" s="101">
        <v>0</v>
      </c>
      <c r="L59" s="101">
        <v>0</v>
      </c>
      <c r="M59" s="101">
        <v>0</v>
      </c>
      <c r="N59" s="101">
        <v>0</v>
      </c>
      <c r="O59" s="101">
        <v>0</v>
      </c>
    </row>
    <row r="60" spans="1:15" x14ac:dyDescent="0.25">
      <c r="A60" s="102">
        <v>41698</v>
      </c>
      <c r="B60" s="101">
        <v>0</v>
      </c>
      <c r="C60" s="101">
        <v>0</v>
      </c>
      <c r="D60" s="101">
        <v>0</v>
      </c>
      <c r="E60" s="101">
        <v>0</v>
      </c>
      <c r="F60" s="101">
        <v>0</v>
      </c>
      <c r="G60" s="101">
        <v>0</v>
      </c>
      <c r="H60" s="101">
        <v>0</v>
      </c>
      <c r="I60" s="101">
        <v>0</v>
      </c>
      <c r="J60" s="101">
        <v>0</v>
      </c>
      <c r="K60" s="101">
        <v>0</v>
      </c>
      <c r="L60" s="101">
        <v>0</v>
      </c>
      <c r="M60" s="101">
        <v>0</v>
      </c>
      <c r="N60" s="101">
        <v>0</v>
      </c>
      <c r="O60" s="101">
        <v>0</v>
      </c>
    </row>
    <row r="61" spans="1:15" x14ac:dyDescent="0.25">
      <c r="B61" s="101">
        <v>0</v>
      </c>
      <c r="C61" s="101">
        <v>0</v>
      </c>
      <c r="D61" s="101">
        <v>0</v>
      </c>
      <c r="E61" s="101">
        <v>0</v>
      </c>
      <c r="F61" s="101">
        <v>0</v>
      </c>
      <c r="G61" s="101">
        <v>0</v>
      </c>
      <c r="H61" s="101">
        <v>0</v>
      </c>
      <c r="I61" s="101">
        <v>0</v>
      </c>
      <c r="J61" s="101">
        <v>0</v>
      </c>
      <c r="K61" s="101">
        <v>0</v>
      </c>
      <c r="L61" s="101">
        <v>0</v>
      </c>
      <c r="M61" s="101">
        <v>0</v>
      </c>
      <c r="N61" s="101">
        <v>0</v>
      </c>
      <c r="O61" s="101">
        <v>0</v>
      </c>
    </row>
    <row r="62" spans="1:15" x14ac:dyDescent="0.25">
      <c r="B62" s="101">
        <v>0</v>
      </c>
      <c r="C62" s="101">
        <v>0</v>
      </c>
      <c r="D62" s="101">
        <v>0</v>
      </c>
      <c r="E62" s="101">
        <v>0</v>
      </c>
      <c r="F62" s="101">
        <v>0</v>
      </c>
      <c r="G62" s="101">
        <v>0</v>
      </c>
      <c r="H62" s="101">
        <v>0</v>
      </c>
      <c r="I62" s="101">
        <v>0</v>
      </c>
      <c r="J62" s="101">
        <v>0</v>
      </c>
      <c r="K62" s="101">
        <v>0</v>
      </c>
      <c r="L62" s="101">
        <v>0</v>
      </c>
      <c r="M62" s="101">
        <v>0</v>
      </c>
      <c r="N62" s="101">
        <v>0</v>
      </c>
      <c r="O62" s="101">
        <v>0</v>
      </c>
    </row>
    <row r="63" spans="1:15" x14ac:dyDescent="0.25">
      <c r="B63" s="101">
        <v>0</v>
      </c>
      <c r="C63" s="101">
        <v>0</v>
      </c>
      <c r="D63" s="101">
        <v>0</v>
      </c>
      <c r="E63" s="101">
        <v>0</v>
      </c>
      <c r="F63" s="101">
        <v>0</v>
      </c>
      <c r="G63" s="101">
        <v>0</v>
      </c>
      <c r="H63" s="101">
        <v>0</v>
      </c>
      <c r="I63" s="101">
        <v>0</v>
      </c>
      <c r="J63" s="101">
        <v>0</v>
      </c>
      <c r="K63" s="101">
        <v>0</v>
      </c>
      <c r="L63" s="101">
        <v>0</v>
      </c>
      <c r="M63" s="101">
        <v>0</v>
      </c>
      <c r="N63" s="101">
        <v>0</v>
      </c>
      <c r="O63" s="101">
        <v>0</v>
      </c>
    </row>
    <row r="64" spans="1:15" x14ac:dyDescent="0.25">
      <c r="A64" s="102">
        <v>41699</v>
      </c>
      <c r="B64" s="101">
        <v>0</v>
      </c>
      <c r="C64" s="101">
        <v>0</v>
      </c>
      <c r="D64" s="101">
        <v>0</v>
      </c>
      <c r="E64" s="101">
        <v>0</v>
      </c>
      <c r="F64" s="101">
        <v>0</v>
      </c>
      <c r="G64" s="101">
        <v>0</v>
      </c>
      <c r="H64" s="101">
        <v>0</v>
      </c>
      <c r="I64" s="101">
        <v>0</v>
      </c>
      <c r="J64" s="101">
        <v>0</v>
      </c>
      <c r="K64" s="101">
        <v>0</v>
      </c>
      <c r="L64" s="101">
        <v>0</v>
      </c>
      <c r="M64" s="101">
        <v>0</v>
      </c>
      <c r="N64" s="101">
        <v>0</v>
      </c>
      <c r="O64" s="101">
        <v>0</v>
      </c>
    </row>
    <row r="65" spans="1:15" x14ac:dyDescent="0.25">
      <c r="A65" s="102">
        <v>41700</v>
      </c>
      <c r="B65" s="101">
        <v>0</v>
      </c>
      <c r="C65" s="101">
        <v>0</v>
      </c>
      <c r="D65" s="101">
        <v>0</v>
      </c>
      <c r="E65" s="101">
        <v>0</v>
      </c>
      <c r="F65" s="101">
        <v>0</v>
      </c>
      <c r="G65" s="101">
        <v>0</v>
      </c>
      <c r="H65" s="101">
        <v>0</v>
      </c>
      <c r="I65" s="101">
        <v>0</v>
      </c>
      <c r="J65" s="101">
        <v>0</v>
      </c>
      <c r="K65" s="101">
        <v>0</v>
      </c>
      <c r="L65" s="101">
        <v>0</v>
      </c>
      <c r="M65" s="101">
        <v>0</v>
      </c>
      <c r="N65" s="101">
        <v>0</v>
      </c>
      <c r="O65" s="101">
        <v>0</v>
      </c>
    </row>
    <row r="66" spans="1:15" x14ac:dyDescent="0.25">
      <c r="A66" s="102">
        <v>41701</v>
      </c>
      <c r="B66" s="101">
        <v>0</v>
      </c>
      <c r="C66" s="101">
        <v>0</v>
      </c>
      <c r="D66" s="101">
        <v>0</v>
      </c>
      <c r="E66" s="101">
        <v>0</v>
      </c>
      <c r="F66" s="101">
        <v>0</v>
      </c>
      <c r="G66" s="101">
        <v>0</v>
      </c>
      <c r="H66" s="101">
        <v>0</v>
      </c>
      <c r="I66" s="101">
        <v>0</v>
      </c>
      <c r="J66" s="101">
        <v>0</v>
      </c>
      <c r="K66" s="101">
        <v>0</v>
      </c>
      <c r="L66" s="101">
        <v>0</v>
      </c>
      <c r="M66" s="101">
        <v>0</v>
      </c>
      <c r="N66" s="101">
        <v>0</v>
      </c>
      <c r="O66" s="101">
        <v>0</v>
      </c>
    </row>
    <row r="67" spans="1:15" x14ac:dyDescent="0.25">
      <c r="A67" s="102">
        <v>41702</v>
      </c>
      <c r="B67" s="101">
        <v>0</v>
      </c>
      <c r="C67" s="101">
        <v>0</v>
      </c>
      <c r="D67" s="101">
        <v>0</v>
      </c>
      <c r="E67" s="101">
        <v>0</v>
      </c>
      <c r="F67" s="101">
        <v>0</v>
      </c>
      <c r="G67" s="101">
        <v>0</v>
      </c>
      <c r="H67" s="101">
        <v>0</v>
      </c>
      <c r="I67" s="101">
        <v>0</v>
      </c>
      <c r="J67" s="101">
        <v>0</v>
      </c>
      <c r="K67" s="101">
        <v>0</v>
      </c>
      <c r="L67" s="101">
        <v>0</v>
      </c>
      <c r="M67" s="101">
        <v>0</v>
      </c>
      <c r="N67" s="101">
        <v>0</v>
      </c>
      <c r="O67" s="101">
        <v>0</v>
      </c>
    </row>
    <row r="68" spans="1:15" x14ac:dyDescent="0.25">
      <c r="A68" s="102">
        <v>41703</v>
      </c>
      <c r="B68" s="101">
        <v>0</v>
      </c>
      <c r="C68" s="101">
        <v>0</v>
      </c>
      <c r="D68" s="101">
        <v>0</v>
      </c>
      <c r="E68" s="101">
        <v>0</v>
      </c>
      <c r="F68" s="101">
        <v>0</v>
      </c>
      <c r="G68" s="101">
        <v>0</v>
      </c>
      <c r="H68" s="101">
        <v>0</v>
      </c>
      <c r="I68" s="101">
        <v>0</v>
      </c>
      <c r="J68" s="101">
        <v>0</v>
      </c>
      <c r="K68" s="101">
        <v>0</v>
      </c>
      <c r="L68" s="101">
        <v>0</v>
      </c>
      <c r="M68" s="101">
        <v>0</v>
      </c>
      <c r="N68" s="101">
        <v>0</v>
      </c>
      <c r="O68" s="101">
        <v>0</v>
      </c>
    </row>
    <row r="69" spans="1:15" x14ac:dyDescent="0.25">
      <c r="A69" s="102">
        <v>41704</v>
      </c>
      <c r="B69" s="101">
        <v>0</v>
      </c>
      <c r="C69" s="101">
        <v>0</v>
      </c>
      <c r="D69" s="101">
        <v>0</v>
      </c>
      <c r="E69" s="101">
        <v>0</v>
      </c>
      <c r="F69" s="101">
        <v>0</v>
      </c>
      <c r="G69" s="101">
        <v>0</v>
      </c>
      <c r="H69" s="101">
        <v>0</v>
      </c>
      <c r="I69" s="101">
        <v>0</v>
      </c>
      <c r="J69" s="101">
        <v>0</v>
      </c>
      <c r="K69" s="101">
        <v>0</v>
      </c>
      <c r="L69" s="101">
        <v>0</v>
      </c>
      <c r="M69" s="101">
        <v>0</v>
      </c>
      <c r="N69" s="101">
        <v>0</v>
      </c>
      <c r="O69" s="101">
        <v>0</v>
      </c>
    </row>
    <row r="70" spans="1:15" x14ac:dyDescent="0.25">
      <c r="A70" s="102">
        <v>41705</v>
      </c>
      <c r="B70" s="101">
        <v>0</v>
      </c>
      <c r="C70" s="101">
        <v>0</v>
      </c>
      <c r="D70" s="101">
        <v>0</v>
      </c>
      <c r="E70" s="101">
        <v>0</v>
      </c>
      <c r="F70" s="101">
        <v>0</v>
      </c>
      <c r="G70" s="101">
        <v>0</v>
      </c>
      <c r="H70" s="101">
        <v>0</v>
      </c>
      <c r="I70" s="101">
        <v>0</v>
      </c>
      <c r="J70" s="101">
        <v>0</v>
      </c>
      <c r="K70" s="101">
        <v>0</v>
      </c>
      <c r="L70" s="101">
        <v>0</v>
      </c>
      <c r="M70" s="101">
        <v>0</v>
      </c>
      <c r="N70" s="101">
        <v>0</v>
      </c>
      <c r="O70" s="101">
        <v>0</v>
      </c>
    </row>
    <row r="71" spans="1:15" x14ac:dyDescent="0.25">
      <c r="A71" s="102">
        <v>41706</v>
      </c>
      <c r="B71" s="101">
        <v>0</v>
      </c>
      <c r="C71" s="101">
        <v>0</v>
      </c>
      <c r="D71" s="101">
        <v>0</v>
      </c>
      <c r="E71" s="101">
        <v>0</v>
      </c>
      <c r="F71" s="101">
        <v>0</v>
      </c>
      <c r="G71" s="101">
        <v>0</v>
      </c>
      <c r="H71" s="101">
        <v>0</v>
      </c>
      <c r="I71" s="101">
        <v>0</v>
      </c>
      <c r="J71" s="101">
        <v>0</v>
      </c>
      <c r="K71" s="101">
        <v>0</v>
      </c>
      <c r="L71" s="101">
        <v>0</v>
      </c>
      <c r="M71" s="101">
        <v>0</v>
      </c>
      <c r="N71" s="101">
        <v>0</v>
      </c>
      <c r="O71" s="101">
        <v>0</v>
      </c>
    </row>
    <row r="72" spans="1:15" x14ac:dyDescent="0.25">
      <c r="A72" s="102">
        <v>41707</v>
      </c>
      <c r="B72" s="101">
        <v>0</v>
      </c>
      <c r="C72" s="101">
        <v>0</v>
      </c>
      <c r="D72" s="101">
        <v>0</v>
      </c>
      <c r="E72" s="101">
        <v>0</v>
      </c>
      <c r="F72" s="101">
        <v>0</v>
      </c>
      <c r="G72" s="101">
        <v>0</v>
      </c>
      <c r="H72" s="101">
        <v>0</v>
      </c>
      <c r="I72" s="101">
        <v>0</v>
      </c>
      <c r="J72" s="101">
        <v>0</v>
      </c>
      <c r="K72" s="101">
        <v>0</v>
      </c>
      <c r="L72" s="101">
        <v>0</v>
      </c>
      <c r="M72" s="101">
        <v>0</v>
      </c>
      <c r="N72" s="101">
        <v>0</v>
      </c>
      <c r="O72" s="101">
        <v>0</v>
      </c>
    </row>
    <row r="73" spans="1:15" x14ac:dyDescent="0.25">
      <c r="A73" s="102">
        <v>41708</v>
      </c>
      <c r="B73" s="101">
        <v>0</v>
      </c>
      <c r="C73" s="101">
        <v>0</v>
      </c>
      <c r="D73" s="101">
        <v>0</v>
      </c>
      <c r="E73" s="101">
        <v>0</v>
      </c>
      <c r="F73" s="101">
        <v>0</v>
      </c>
      <c r="G73" s="101">
        <v>0</v>
      </c>
      <c r="H73" s="101">
        <v>0</v>
      </c>
      <c r="I73" s="101">
        <v>0</v>
      </c>
      <c r="J73" s="101">
        <v>0</v>
      </c>
      <c r="K73" s="101">
        <v>0</v>
      </c>
      <c r="L73" s="101">
        <v>0</v>
      </c>
      <c r="M73" s="101">
        <v>0</v>
      </c>
      <c r="N73" s="101">
        <v>0</v>
      </c>
      <c r="O73" s="101">
        <v>0</v>
      </c>
    </row>
    <row r="74" spans="1:15" x14ac:dyDescent="0.25">
      <c r="A74" s="102">
        <v>41709</v>
      </c>
      <c r="B74" s="101">
        <v>0</v>
      </c>
      <c r="C74" s="101">
        <v>0</v>
      </c>
      <c r="D74" s="101">
        <v>0</v>
      </c>
      <c r="E74" s="101">
        <v>0</v>
      </c>
      <c r="F74" s="101">
        <v>0</v>
      </c>
      <c r="G74" s="101">
        <v>0</v>
      </c>
      <c r="H74" s="101">
        <v>0</v>
      </c>
      <c r="I74" s="101">
        <v>0</v>
      </c>
      <c r="J74" s="101">
        <v>0</v>
      </c>
      <c r="K74" s="101">
        <v>0</v>
      </c>
      <c r="L74" s="101">
        <v>0</v>
      </c>
      <c r="M74" s="101">
        <v>0</v>
      </c>
      <c r="N74" s="101">
        <v>0</v>
      </c>
      <c r="O74" s="101">
        <v>0</v>
      </c>
    </row>
    <row r="75" spans="1:15" x14ac:dyDescent="0.25">
      <c r="A75" s="102">
        <v>41710</v>
      </c>
      <c r="B75" s="101">
        <v>0</v>
      </c>
      <c r="C75" s="101">
        <v>0</v>
      </c>
      <c r="D75" s="101">
        <v>0</v>
      </c>
      <c r="E75" s="101">
        <v>0</v>
      </c>
      <c r="F75" s="101">
        <v>0</v>
      </c>
      <c r="G75" s="101">
        <v>0</v>
      </c>
      <c r="H75" s="101">
        <v>0</v>
      </c>
      <c r="I75" s="101">
        <v>0</v>
      </c>
      <c r="J75" s="101">
        <v>0</v>
      </c>
      <c r="K75" s="101">
        <v>0</v>
      </c>
      <c r="L75" s="101">
        <v>0</v>
      </c>
      <c r="M75" s="101">
        <v>0</v>
      </c>
      <c r="N75" s="101">
        <v>0</v>
      </c>
      <c r="O75" s="101">
        <v>0</v>
      </c>
    </row>
    <row r="76" spans="1:15" x14ac:dyDescent="0.25">
      <c r="A76" s="102">
        <v>41711</v>
      </c>
      <c r="B76" s="101">
        <v>0</v>
      </c>
      <c r="C76" s="101">
        <v>0</v>
      </c>
      <c r="D76" s="101">
        <v>0</v>
      </c>
      <c r="E76" s="101">
        <v>0</v>
      </c>
      <c r="F76" s="101">
        <v>0</v>
      </c>
      <c r="G76" s="101">
        <v>0</v>
      </c>
      <c r="H76" s="101">
        <v>0</v>
      </c>
      <c r="I76" s="101">
        <v>0</v>
      </c>
      <c r="J76" s="101">
        <v>0</v>
      </c>
      <c r="K76" s="101">
        <v>0</v>
      </c>
      <c r="L76" s="101">
        <v>0</v>
      </c>
      <c r="M76" s="101">
        <v>0</v>
      </c>
      <c r="N76" s="101">
        <v>0</v>
      </c>
      <c r="O76" s="101">
        <v>0</v>
      </c>
    </row>
    <row r="77" spans="1:15" x14ac:dyDescent="0.25">
      <c r="A77" s="102">
        <v>41712</v>
      </c>
      <c r="B77" s="101">
        <v>0</v>
      </c>
      <c r="C77" s="101">
        <v>0</v>
      </c>
      <c r="D77" s="101">
        <v>0</v>
      </c>
      <c r="E77" s="101">
        <v>0</v>
      </c>
      <c r="F77" s="101">
        <v>0</v>
      </c>
      <c r="G77" s="101">
        <v>0</v>
      </c>
      <c r="H77" s="101">
        <v>0</v>
      </c>
      <c r="I77" s="101">
        <v>0</v>
      </c>
      <c r="J77" s="101">
        <v>0</v>
      </c>
      <c r="K77" s="101">
        <v>0</v>
      </c>
      <c r="L77" s="101">
        <v>0</v>
      </c>
      <c r="M77" s="101">
        <v>0</v>
      </c>
      <c r="N77" s="101">
        <v>0</v>
      </c>
      <c r="O77" s="101">
        <v>0</v>
      </c>
    </row>
    <row r="78" spans="1:15" x14ac:dyDescent="0.25">
      <c r="A78" s="102">
        <v>41713</v>
      </c>
      <c r="B78" s="101">
        <v>0</v>
      </c>
      <c r="C78" s="101">
        <v>0</v>
      </c>
      <c r="D78" s="101">
        <v>0</v>
      </c>
      <c r="E78" s="101">
        <v>0</v>
      </c>
      <c r="F78" s="101">
        <v>0</v>
      </c>
      <c r="G78" s="101">
        <v>0</v>
      </c>
      <c r="H78" s="101">
        <v>0</v>
      </c>
      <c r="I78" s="101">
        <v>0</v>
      </c>
      <c r="J78" s="101">
        <v>0</v>
      </c>
      <c r="K78" s="101">
        <v>0</v>
      </c>
      <c r="L78" s="101">
        <v>0</v>
      </c>
      <c r="M78" s="101">
        <v>0</v>
      </c>
      <c r="N78" s="101">
        <v>0</v>
      </c>
      <c r="O78" s="101">
        <v>0</v>
      </c>
    </row>
    <row r="79" spans="1:15" x14ac:dyDescent="0.25">
      <c r="A79" s="102">
        <v>41714</v>
      </c>
      <c r="B79" s="101">
        <v>0</v>
      </c>
      <c r="C79" s="101">
        <v>0</v>
      </c>
      <c r="D79" s="101">
        <v>0</v>
      </c>
      <c r="E79" s="101">
        <v>0</v>
      </c>
      <c r="F79" s="101">
        <v>0</v>
      </c>
      <c r="G79" s="101">
        <v>0</v>
      </c>
      <c r="H79" s="101">
        <v>0</v>
      </c>
      <c r="I79" s="101">
        <v>0</v>
      </c>
      <c r="J79" s="101">
        <v>0</v>
      </c>
      <c r="K79" s="101">
        <v>0</v>
      </c>
      <c r="L79" s="101">
        <v>0</v>
      </c>
      <c r="M79" s="101">
        <v>0</v>
      </c>
      <c r="N79" s="101">
        <v>0</v>
      </c>
      <c r="O79" s="101">
        <v>0</v>
      </c>
    </row>
    <row r="80" spans="1:15" x14ac:dyDescent="0.25">
      <c r="A80" s="102">
        <v>41715</v>
      </c>
      <c r="B80" s="101">
        <v>0</v>
      </c>
      <c r="C80" s="101">
        <v>0</v>
      </c>
      <c r="D80" s="101">
        <v>0</v>
      </c>
      <c r="E80" s="101">
        <v>0</v>
      </c>
      <c r="F80" s="101">
        <v>0</v>
      </c>
      <c r="G80" s="101">
        <v>0</v>
      </c>
      <c r="H80" s="101">
        <v>0</v>
      </c>
      <c r="I80" s="101">
        <v>0</v>
      </c>
      <c r="J80" s="101">
        <v>0</v>
      </c>
      <c r="K80" s="101">
        <v>0</v>
      </c>
      <c r="L80" s="101">
        <v>0</v>
      </c>
      <c r="M80" s="101">
        <v>0</v>
      </c>
      <c r="N80" s="101">
        <v>0</v>
      </c>
      <c r="O80" s="101">
        <v>0</v>
      </c>
    </row>
    <row r="81" spans="1:15" x14ac:dyDescent="0.25">
      <c r="A81" s="102">
        <v>41716</v>
      </c>
      <c r="B81" s="101">
        <v>0</v>
      </c>
      <c r="C81" s="101">
        <v>0</v>
      </c>
      <c r="D81" s="101">
        <v>0</v>
      </c>
      <c r="E81" s="101">
        <v>0</v>
      </c>
      <c r="F81" s="101">
        <v>0</v>
      </c>
      <c r="G81" s="101">
        <v>0</v>
      </c>
      <c r="H81" s="101">
        <v>0</v>
      </c>
      <c r="I81" s="101">
        <v>0</v>
      </c>
      <c r="J81" s="101">
        <v>0</v>
      </c>
      <c r="K81" s="101">
        <v>0</v>
      </c>
      <c r="L81" s="101">
        <v>0</v>
      </c>
      <c r="M81" s="101">
        <v>0</v>
      </c>
      <c r="N81" s="101">
        <v>0</v>
      </c>
      <c r="O81" s="101">
        <v>0</v>
      </c>
    </row>
    <row r="82" spans="1:15" x14ac:dyDescent="0.25">
      <c r="A82" s="102">
        <v>41717</v>
      </c>
      <c r="B82" s="101">
        <v>0</v>
      </c>
      <c r="C82" s="101">
        <v>0</v>
      </c>
      <c r="D82" s="101">
        <v>0</v>
      </c>
      <c r="E82" s="101">
        <v>0</v>
      </c>
      <c r="F82" s="101">
        <v>0</v>
      </c>
      <c r="G82" s="101">
        <v>0</v>
      </c>
      <c r="H82" s="101">
        <v>0</v>
      </c>
      <c r="I82" s="101">
        <v>0</v>
      </c>
      <c r="J82" s="101">
        <v>0</v>
      </c>
      <c r="K82" s="101">
        <v>0</v>
      </c>
      <c r="L82" s="101">
        <v>0</v>
      </c>
      <c r="M82" s="101">
        <v>0</v>
      </c>
      <c r="N82" s="101">
        <v>0</v>
      </c>
      <c r="O82" s="101">
        <v>0</v>
      </c>
    </row>
    <row r="83" spans="1:15" x14ac:dyDescent="0.25">
      <c r="A83" s="102">
        <v>41718</v>
      </c>
      <c r="B83" s="101">
        <v>0</v>
      </c>
      <c r="C83" s="101">
        <v>0</v>
      </c>
      <c r="D83" s="101">
        <v>0</v>
      </c>
      <c r="E83" s="101">
        <v>0</v>
      </c>
      <c r="F83" s="101">
        <v>0</v>
      </c>
      <c r="G83" s="101">
        <v>0</v>
      </c>
      <c r="H83" s="101">
        <v>0</v>
      </c>
      <c r="I83" s="101">
        <v>0</v>
      </c>
      <c r="J83" s="101">
        <v>0</v>
      </c>
      <c r="K83" s="101">
        <v>0</v>
      </c>
      <c r="L83" s="101">
        <v>0</v>
      </c>
      <c r="M83" s="101">
        <v>0</v>
      </c>
      <c r="N83" s="101">
        <v>0</v>
      </c>
      <c r="O83" s="101">
        <v>0</v>
      </c>
    </row>
    <row r="84" spans="1:15" x14ac:dyDescent="0.25">
      <c r="A84" s="102">
        <v>41719</v>
      </c>
      <c r="B84" s="101">
        <v>0</v>
      </c>
      <c r="C84" s="101">
        <v>0</v>
      </c>
      <c r="D84" s="101">
        <v>0</v>
      </c>
      <c r="E84" s="101">
        <v>0</v>
      </c>
      <c r="F84" s="101">
        <v>0</v>
      </c>
      <c r="G84" s="101">
        <v>0</v>
      </c>
      <c r="H84" s="101">
        <v>0</v>
      </c>
      <c r="I84" s="101">
        <v>0</v>
      </c>
      <c r="J84" s="101">
        <v>0</v>
      </c>
      <c r="K84" s="101">
        <v>0</v>
      </c>
      <c r="L84" s="101">
        <v>0</v>
      </c>
      <c r="M84" s="101">
        <v>0</v>
      </c>
      <c r="N84" s="101">
        <v>0</v>
      </c>
      <c r="O84" s="101">
        <v>0</v>
      </c>
    </row>
    <row r="85" spans="1:15" x14ac:dyDescent="0.25">
      <c r="A85" s="102">
        <v>41720</v>
      </c>
      <c r="B85" s="101">
        <v>0</v>
      </c>
      <c r="C85" s="101">
        <v>0</v>
      </c>
      <c r="D85" s="101">
        <v>0</v>
      </c>
      <c r="E85" s="101">
        <v>0</v>
      </c>
      <c r="F85" s="101">
        <v>0</v>
      </c>
      <c r="G85" s="101">
        <v>0</v>
      </c>
      <c r="H85" s="101">
        <v>0</v>
      </c>
      <c r="I85" s="101">
        <v>0</v>
      </c>
      <c r="J85" s="101">
        <v>0</v>
      </c>
      <c r="K85" s="101">
        <v>0</v>
      </c>
      <c r="L85" s="101">
        <v>0</v>
      </c>
      <c r="M85" s="101">
        <v>0</v>
      </c>
      <c r="N85" s="101">
        <v>0</v>
      </c>
      <c r="O85" s="101">
        <v>0</v>
      </c>
    </row>
    <row r="86" spans="1:15" x14ac:dyDescent="0.25">
      <c r="A86" s="102">
        <v>41721</v>
      </c>
      <c r="B86" s="101">
        <v>0</v>
      </c>
      <c r="C86" s="101">
        <v>0</v>
      </c>
      <c r="D86" s="101">
        <v>0</v>
      </c>
      <c r="E86" s="101">
        <v>0</v>
      </c>
      <c r="F86" s="101">
        <v>0</v>
      </c>
      <c r="G86" s="101">
        <v>0</v>
      </c>
      <c r="H86" s="101">
        <v>0</v>
      </c>
      <c r="I86" s="101">
        <v>0</v>
      </c>
      <c r="J86" s="101">
        <v>0</v>
      </c>
      <c r="K86" s="101">
        <v>0</v>
      </c>
      <c r="L86" s="101">
        <v>0</v>
      </c>
      <c r="M86" s="101">
        <v>0</v>
      </c>
      <c r="N86" s="101">
        <v>0</v>
      </c>
      <c r="O86" s="101">
        <v>0</v>
      </c>
    </row>
    <row r="87" spans="1:15" x14ac:dyDescent="0.25">
      <c r="A87" s="102">
        <v>41722</v>
      </c>
      <c r="B87" s="101">
        <v>0</v>
      </c>
      <c r="C87" s="101">
        <v>0</v>
      </c>
      <c r="D87" s="101">
        <v>0</v>
      </c>
      <c r="E87" s="101">
        <v>0</v>
      </c>
      <c r="F87" s="101">
        <v>0</v>
      </c>
      <c r="G87" s="101">
        <v>0</v>
      </c>
      <c r="H87" s="101">
        <v>0</v>
      </c>
      <c r="I87" s="101">
        <v>0</v>
      </c>
      <c r="J87" s="101">
        <v>0</v>
      </c>
      <c r="K87" s="101">
        <v>0</v>
      </c>
      <c r="L87" s="101">
        <v>0</v>
      </c>
      <c r="M87" s="101">
        <v>0</v>
      </c>
      <c r="N87" s="101">
        <v>0</v>
      </c>
      <c r="O87" s="101">
        <v>0</v>
      </c>
    </row>
    <row r="88" spans="1:15" x14ac:dyDescent="0.25">
      <c r="A88" s="102">
        <v>41723</v>
      </c>
      <c r="B88" s="101">
        <v>0</v>
      </c>
      <c r="C88" s="101">
        <v>0</v>
      </c>
      <c r="D88" s="101">
        <v>0</v>
      </c>
      <c r="E88" s="101">
        <v>0</v>
      </c>
      <c r="F88" s="101">
        <v>0</v>
      </c>
      <c r="G88" s="101">
        <v>0</v>
      </c>
      <c r="H88" s="101">
        <v>0</v>
      </c>
      <c r="I88" s="101">
        <v>0</v>
      </c>
      <c r="J88" s="101">
        <v>0</v>
      </c>
      <c r="K88" s="101">
        <v>0</v>
      </c>
      <c r="L88" s="101">
        <v>0</v>
      </c>
      <c r="M88" s="101">
        <v>0</v>
      </c>
      <c r="N88" s="101">
        <v>0</v>
      </c>
      <c r="O88" s="101">
        <v>0</v>
      </c>
    </row>
    <row r="89" spans="1:15" x14ac:dyDescent="0.25">
      <c r="A89" s="102">
        <v>41724</v>
      </c>
      <c r="B89" s="101">
        <v>0</v>
      </c>
      <c r="C89" s="101">
        <v>0</v>
      </c>
      <c r="D89" s="101">
        <v>0</v>
      </c>
      <c r="E89" s="101">
        <v>0</v>
      </c>
      <c r="F89" s="101">
        <v>0</v>
      </c>
      <c r="G89" s="101">
        <v>0</v>
      </c>
      <c r="H89" s="101">
        <v>0</v>
      </c>
      <c r="I89" s="101">
        <v>0</v>
      </c>
      <c r="J89" s="101">
        <v>0</v>
      </c>
      <c r="K89" s="101">
        <v>0</v>
      </c>
      <c r="L89" s="101">
        <v>0</v>
      </c>
      <c r="M89" s="101">
        <v>0</v>
      </c>
      <c r="N89" s="101">
        <v>0</v>
      </c>
      <c r="O89" s="101">
        <v>0</v>
      </c>
    </row>
    <row r="90" spans="1:15" x14ac:dyDescent="0.25">
      <c r="A90" s="102">
        <v>41725</v>
      </c>
      <c r="B90" s="101">
        <v>0</v>
      </c>
      <c r="C90" s="101">
        <v>0</v>
      </c>
      <c r="D90" s="101">
        <v>0</v>
      </c>
      <c r="E90" s="101">
        <v>0</v>
      </c>
      <c r="F90" s="101">
        <v>0</v>
      </c>
      <c r="G90" s="101">
        <v>0</v>
      </c>
      <c r="H90" s="101">
        <v>0</v>
      </c>
      <c r="I90" s="101">
        <v>0</v>
      </c>
      <c r="J90" s="101">
        <v>0</v>
      </c>
      <c r="K90" s="101">
        <v>0</v>
      </c>
      <c r="L90" s="101">
        <v>0</v>
      </c>
      <c r="M90" s="101">
        <v>0</v>
      </c>
      <c r="N90" s="101">
        <v>0</v>
      </c>
      <c r="O90" s="101">
        <v>0</v>
      </c>
    </row>
    <row r="91" spans="1:15" x14ac:dyDescent="0.25">
      <c r="A91" s="102">
        <v>41726</v>
      </c>
      <c r="B91" s="101">
        <v>0</v>
      </c>
      <c r="C91" s="101">
        <v>0</v>
      </c>
      <c r="D91" s="101">
        <v>0</v>
      </c>
      <c r="E91" s="101">
        <v>0</v>
      </c>
      <c r="F91" s="101">
        <v>0</v>
      </c>
      <c r="G91" s="101">
        <v>0</v>
      </c>
      <c r="H91" s="101">
        <v>0</v>
      </c>
      <c r="I91" s="101">
        <v>0</v>
      </c>
      <c r="J91" s="101">
        <v>0</v>
      </c>
      <c r="K91" s="101">
        <v>0</v>
      </c>
      <c r="L91" s="101">
        <v>0</v>
      </c>
      <c r="M91" s="101">
        <v>0</v>
      </c>
      <c r="N91" s="101">
        <v>0</v>
      </c>
      <c r="O91" s="101">
        <v>0</v>
      </c>
    </row>
    <row r="92" spans="1:15" x14ac:dyDescent="0.25">
      <c r="A92" s="102">
        <v>41727</v>
      </c>
      <c r="B92" s="101">
        <v>0</v>
      </c>
      <c r="C92" s="101">
        <v>0</v>
      </c>
      <c r="D92" s="101">
        <v>0</v>
      </c>
      <c r="E92" s="101">
        <v>0</v>
      </c>
      <c r="F92" s="101">
        <v>0</v>
      </c>
      <c r="G92" s="101">
        <v>0</v>
      </c>
      <c r="H92" s="101">
        <v>0</v>
      </c>
      <c r="I92" s="101">
        <v>0</v>
      </c>
      <c r="J92" s="101">
        <v>0</v>
      </c>
      <c r="K92" s="101">
        <v>0</v>
      </c>
      <c r="L92" s="101">
        <v>0</v>
      </c>
      <c r="M92" s="101">
        <v>0</v>
      </c>
      <c r="N92" s="101">
        <v>0</v>
      </c>
      <c r="O92" s="101">
        <v>0</v>
      </c>
    </row>
    <row r="93" spans="1:15" x14ac:dyDescent="0.25">
      <c r="A93" s="102">
        <v>41728</v>
      </c>
      <c r="B93" s="101">
        <v>0</v>
      </c>
      <c r="C93" s="101">
        <v>0</v>
      </c>
      <c r="D93" s="101">
        <v>0</v>
      </c>
      <c r="E93" s="101">
        <v>0</v>
      </c>
      <c r="F93" s="101">
        <v>0</v>
      </c>
      <c r="G93" s="101">
        <v>0</v>
      </c>
      <c r="H93" s="101">
        <v>0</v>
      </c>
      <c r="I93" s="101">
        <v>0</v>
      </c>
      <c r="J93" s="101">
        <v>0</v>
      </c>
      <c r="K93" s="101">
        <v>0</v>
      </c>
      <c r="L93" s="101">
        <v>0</v>
      </c>
      <c r="M93" s="101">
        <v>0</v>
      </c>
      <c r="N93" s="101">
        <v>0</v>
      </c>
      <c r="O93" s="101">
        <v>0</v>
      </c>
    </row>
    <row r="94" spans="1:15" x14ac:dyDescent="0.25">
      <c r="A94" s="102">
        <v>41729</v>
      </c>
      <c r="B94" s="101">
        <v>0</v>
      </c>
      <c r="C94" s="101">
        <v>0</v>
      </c>
      <c r="D94" s="101">
        <v>0</v>
      </c>
      <c r="E94" s="101">
        <v>0</v>
      </c>
      <c r="F94" s="101">
        <v>0</v>
      </c>
      <c r="G94" s="101">
        <v>0</v>
      </c>
      <c r="H94" s="101">
        <v>0</v>
      </c>
      <c r="I94" s="101">
        <v>0</v>
      </c>
      <c r="J94" s="101">
        <v>0</v>
      </c>
      <c r="K94" s="101">
        <v>0</v>
      </c>
      <c r="L94" s="101">
        <v>0</v>
      </c>
      <c r="M94" s="101">
        <v>0</v>
      </c>
      <c r="N94" s="101">
        <v>0</v>
      </c>
      <c r="O94" s="101">
        <v>0</v>
      </c>
    </row>
    <row r="95" spans="1:15" x14ac:dyDescent="0.25">
      <c r="A95" s="102">
        <v>41730</v>
      </c>
      <c r="B95" s="101">
        <v>0</v>
      </c>
      <c r="C95" s="101">
        <v>0</v>
      </c>
      <c r="D95" s="101">
        <v>0</v>
      </c>
      <c r="E95" s="101">
        <v>0</v>
      </c>
      <c r="F95" s="101">
        <v>0</v>
      </c>
      <c r="G95" s="101">
        <v>0</v>
      </c>
      <c r="H95" s="101">
        <v>0</v>
      </c>
      <c r="I95" s="101">
        <v>0</v>
      </c>
      <c r="J95" s="101">
        <v>0</v>
      </c>
      <c r="K95" s="101">
        <v>0</v>
      </c>
      <c r="L95" s="101">
        <v>0</v>
      </c>
      <c r="M95" s="101">
        <v>0</v>
      </c>
      <c r="N95" s="101">
        <v>0</v>
      </c>
      <c r="O95" s="101">
        <v>0</v>
      </c>
    </row>
    <row r="96" spans="1:15" x14ac:dyDescent="0.25">
      <c r="A96" s="102">
        <v>41731</v>
      </c>
      <c r="B96" s="101">
        <v>0</v>
      </c>
      <c r="C96" s="101">
        <v>0</v>
      </c>
      <c r="D96" s="101">
        <v>0</v>
      </c>
      <c r="E96" s="101">
        <v>0</v>
      </c>
      <c r="F96" s="101">
        <v>0</v>
      </c>
      <c r="G96" s="101">
        <v>0</v>
      </c>
      <c r="H96" s="101">
        <v>0</v>
      </c>
      <c r="I96" s="101">
        <v>0</v>
      </c>
      <c r="J96" s="101">
        <v>0</v>
      </c>
      <c r="K96" s="101">
        <v>0</v>
      </c>
      <c r="L96" s="101">
        <v>0</v>
      </c>
      <c r="M96" s="101">
        <v>0</v>
      </c>
      <c r="N96" s="101">
        <v>0</v>
      </c>
      <c r="O96" s="101">
        <v>0</v>
      </c>
    </row>
    <row r="97" spans="1:15" x14ac:dyDescent="0.25">
      <c r="A97" s="102">
        <v>41732</v>
      </c>
      <c r="B97" s="101">
        <v>0</v>
      </c>
      <c r="C97" s="101">
        <v>0</v>
      </c>
      <c r="D97" s="101">
        <v>0</v>
      </c>
      <c r="E97" s="101">
        <v>0</v>
      </c>
      <c r="F97" s="101">
        <v>0</v>
      </c>
      <c r="G97" s="101">
        <v>0</v>
      </c>
      <c r="H97" s="101">
        <v>0</v>
      </c>
      <c r="I97" s="101">
        <v>0</v>
      </c>
      <c r="J97" s="101">
        <v>0</v>
      </c>
      <c r="K97" s="101">
        <v>0</v>
      </c>
      <c r="L97" s="101">
        <v>0</v>
      </c>
      <c r="M97" s="101">
        <v>0</v>
      </c>
      <c r="N97" s="101">
        <v>0</v>
      </c>
      <c r="O97" s="101">
        <v>0</v>
      </c>
    </row>
    <row r="98" spans="1:15" x14ac:dyDescent="0.25">
      <c r="A98" s="102">
        <v>41733</v>
      </c>
      <c r="B98" s="101">
        <v>0</v>
      </c>
      <c r="C98" s="101">
        <v>0</v>
      </c>
      <c r="D98" s="101">
        <v>0</v>
      </c>
      <c r="E98" s="101">
        <v>0</v>
      </c>
      <c r="F98" s="101">
        <v>0</v>
      </c>
      <c r="G98" s="101">
        <v>0</v>
      </c>
      <c r="H98" s="101">
        <v>0</v>
      </c>
      <c r="I98" s="101">
        <v>0</v>
      </c>
      <c r="J98" s="101">
        <v>0</v>
      </c>
      <c r="K98" s="101">
        <v>0</v>
      </c>
      <c r="L98" s="101">
        <v>0</v>
      </c>
      <c r="M98" s="101">
        <v>0</v>
      </c>
      <c r="N98" s="101">
        <v>0</v>
      </c>
      <c r="O98" s="101">
        <v>0</v>
      </c>
    </row>
    <row r="99" spans="1:15" x14ac:dyDescent="0.25">
      <c r="A99" s="102">
        <v>41734</v>
      </c>
      <c r="B99" s="101">
        <v>0</v>
      </c>
      <c r="C99" s="101">
        <v>0</v>
      </c>
      <c r="D99" s="101">
        <v>0</v>
      </c>
      <c r="E99" s="101">
        <v>0</v>
      </c>
      <c r="F99" s="101">
        <v>0</v>
      </c>
      <c r="G99" s="101">
        <v>0</v>
      </c>
      <c r="H99" s="101">
        <v>0</v>
      </c>
      <c r="I99" s="101">
        <v>0</v>
      </c>
      <c r="J99" s="101">
        <v>0</v>
      </c>
      <c r="K99" s="101">
        <v>0</v>
      </c>
      <c r="L99" s="101">
        <v>0</v>
      </c>
      <c r="M99" s="101">
        <v>0</v>
      </c>
      <c r="N99" s="101">
        <v>0</v>
      </c>
      <c r="O99" s="101">
        <v>0</v>
      </c>
    </row>
    <row r="100" spans="1:15" x14ac:dyDescent="0.25">
      <c r="A100" s="102">
        <v>41735</v>
      </c>
      <c r="B100" s="101">
        <v>0</v>
      </c>
      <c r="C100" s="101">
        <v>0</v>
      </c>
      <c r="D100" s="101">
        <v>0</v>
      </c>
      <c r="E100" s="101">
        <v>0</v>
      </c>
      <c r="F100" s="101">
        <v>0</v>
      </c>
      <c r="G100" s="101">
        <v>0</v>
      </c>
      <c r="H100" s="101">
        <v>0</v>
      </c>
      <c r="I100" s="101">
        <v>0</v>
      </c>
      <c r="J100" s="101">
        <v>0</v>
      </c>
      <c r="K100" s="101">
        <v>0</v>
      </c>
      <c r="L100" s="101">
        <v>0</v>
      </c>
      <c r="M100" s="101">
        <v>0</v>
      </c>
      <c r="N100" s="101">
        <v>0</v>
      </c>
      <c r="O100" s="101">
        <v>0</v>
      </c>
    </row>
    <row r="101" spans="1:15" x14ac:dyDescent="0.25">
      <c r="A101" s="102">
        <v>41736</v>
      </c>
      <c r="B101" s="101">
        <v>0</v>
      </c>
      <c r="C101" s="101">
        <v>0</v>
      </c>
      <c r="D101" s="101">
        <v>0</v>
      </c>
      <c r="E101" s="101">
        <v>0</v>
      </c>
      <c r="F101" s="101">
        <v>0</v>
      </c>
      <c r="G101" s="101">
        <v>0</v>
      </c>
      <c r="H101" s="101">
        <v>0</v>
      </c>
      <c r="I101" s="101">
        <v>0</v>
      </c>
      <c r="J101" s="101">
        <v>0</v>
      </c>
      <c r="K101" s="101">
        <v>0</v>
      </c>
      <c r="L101" s="101">
        <v>0</v>
      </c>
      <c r="M101" s="101">
        <v>0</v>
      </c>
      <c r="N101" s="101">
        <v>0</v>
      </c>
      <c r="O101" s="101">
        <v>0</v>
      </c>
    </row>
    <row r="102" spans="1:15" x14ac:dyDescent="0.25">
      <c r="A102" s="102">
        <v>41737</v>
      </c>
      <c r="B102" s="101">
        <v>0</v>
      </c>
      <c r="C102" s="101">
        <v>0</v>
      </c>
      <c r="D102" s="101">
        <v>0</v>
      </c>
      <c r="E102" s="101">
        <v>0</v>
      </c>
      <c r="F102" s="101">
        <v>0</v>
      </c>
      <c r="G102" s="101">
        <v>0</v>
      </c>
      <c r="H102" s="101">
        <v>0</v>
      </c>
      <c r="I102" s="101">
        <v>0</v>
      </c>
      <c r="J102" s="101">
        <v>0</v>
      </c>
      <c r="K102" s="101">
        <v>0</v>
      </c>
      <c r="L102" s="101">
        <v>0</v>
      </c>
      <c r="M102" s="101">
        <v>0</v>
      </c>
      <c r="N102" s="101">
        <v>0</v>
      </c>
      <c r="O102" s="101">
        <v>0</v>
      </c>
    </row>
    <row r="103" spans="1:15" x14ac:dyDescent="0.25">
      <c r="A103" s="102">
        <v>41738</v>
      </c>
      <c r="B103" s="101">
        <v>0</v>
      </c>
      <c r="C103" s="101">
        <v>0</v>
      </c>
      <c r="D103" s="101">
        <v>0</v>
      </c>
      <c r="E103" s="101">
        <v>0</v>
      </c>
      <c r="F103" s="101">
        <v>0</v>
      </c>
      <c r="G103" s="101">
        <v>0</v>
      </c>
      <c r="H103" s="101">
        <v>0</v>
      </c>
      <c r="I103" s="101">
        <v>0</v>
      </c>
      <c r="J103" s="101">
        <v>0</v>
      </c>
      <c r="K103" s="101">
        <v>0</v>
      </c>
      <c r="L103" s="101">
        <v>0</v>
      </c>
      <c r="M103" s="101">
        <v>0</v>
      </c>
      <c r="N103" s="101">
        <v>0</v>
      </c>
      <c r="O103" s="101">
        <v>0</v>
      </c>
    </row>
    <row r="104" spans="1:15" x14ac:dyDescent="0.25">
      <c r="A104" s="102">
        <v>41739</v>
      </c>
      <c r="B104" s="101">
        <v>0</v>
      </c>
      <c r="C104" s="101">
        <v>0</v>
      </c>
      <c r="D104" s="101">
        <v>0</v>
      </c>
      <c r="E104" s="101">
        <v>0</v>
      </c>
      <c r="F104" s="101">
        <v>0</v>
      </c>
      <c r="G104" s="101">
        <v>0</v>
      </c>
      <c r="H104" s="101">
        <v>0</v>
      </c>
      <c r="I104" s="101">
        <v>0</v>
      </c>
      <c r="J104" s="101">
        <v>0</v>
      </c>
      <c r="K104" s="101">
        <v>0</v>
      </c>
      <c r="L104" s="101">
        <v>0</v>
      </c>
      <c r="M104" s="101">
        <v>0</v>
      </c>
      <c r="N104" s="101">
        <v>0</v>
      </c>
      <c r="O104" s="101">
        <v>0</v>
      </c>
    </row>
    <row r="105" spans="1:15" x14ac:dyDescent="0.25">
      <c r="A105" s="102">
        <v>41740</v>
      </c>
      <c r="B105" s="101">
        <v>0</v>
      </c>
      <c r="C105" s="101">
        <v>0</v>
      </c>
      <c r="D105" s="101">
        <v>0</v>
      </c>
      <c r="E105" s="101">
        <v>0</v>
      </c>
      <c r="F105" s="101">
        <v>0</v>
      </c>
      <c r="G105" s="101">
        <v>0</v>
      </c>
      <c r="H105" s="101">
        <v>0</v>
      </c>
      <c r="I105" s="101">
        <v>0</v>
      </c>
      <c r="J105" s="101">
        <v>0</v>
      </c>
      <c r="K105" s="101">
        <v>0</v>
      </c>
      <c r="L105" s="101">
        <v>0</v>
      </c>
      <c r="M105" s="101">
        <v>0</v>
      </c>
      <c r="N105" s="101">
        <v>0</v>
      </c>
      <c r="O105" s="101">
        <v>0</v>
      </c>
    </row>
    <row r="106" spans="1:15" x14ac:dyDescent="0.25">
      <c r="A106" s="102">
        <v>41741</v>
      </c>
      <c r="B106" s="101">
        <v>0</v>
      </c>
      <c r="C106" s="101">
        <v>0</v>
      </c>
      <c r="D106" s="101">
        <v>0</v>
      </c>
      <c r="E106" s="101">
        <v>0</v>
      </c>
      <c r="F106" s="101">
        <v>0</v>
      </c>
      <c r="G106" s="101">
        <v>0</v>
      </c>
      <c r="H106" s="101">
        <v>0</v>
      </c>
      <c r="I106" s="101">
        <v>0</v>
      </c>
      <c r="J106" s="101">
        <v>0</v>
      </c>
      <c r="K106" s="101">
        <v>0</v>
      </c>
      <c r="L106" s="101">
        <v>0</v>
      </c>
      <c r="M106" s="101">
        <v>0</v>
      </c>
      <c r="N106" s="101">
        <v>0</v>
      </c>
      <c r="O106" s="101">
        <v>0</v>
      </c>
    </row>
    <row r="107" spans="1:15" x14ac:dyDescent="0.25">
      <c r="A107" s="102">
        <v>41742</v>
      </c>
      <c r="B107" s="101">
        <v>0</v>
      </c>
      <c r="C107" s="101">
        <v>0</v>
      </c>
      <c r="D107" s="101">
        <v>0</v>
      </c>
      <c r="E107" s="101">
        <v>0</v>
      </c>
      <c r="F107" s="101">
        <v>0</v>
      </c>
      <c r="G107" s="101">
        <v>0</v>
      </c>
      <c r="H107" s="101">
        <v>0</v>
      </c>
      <c r="I107" s="101">
        <v>0</v>
      </c>
      <c r="J107" s="101">
        <v>0</v>
      </c>
      <c r="K107" s="101">
        <v>0</v>
      </c>
      <c r="L107" s="101">
        <v>0</v>
      </c>
      <c r="M107" s="101">
        <v>0</v>
      </c>
      <c r="N107" s="101">
        <v>0</v>
      </c>
      <c r="O107" s="101">
        <v>0</v>
      </c>
    </row>
    <row r="108" spans="1:15" x14ac:dyDescent="0.25">
      <c r="A108" s="102">
        <v>41743</v>
      </c>
      <c r="B108" s="101">
        <v>0</v>
      </c>
      <c r="C108" s="101">
        <v>0</v>
      </c>
      <c r="D108" s="101">
        <v>0</v>
      </c>
      <c r="E108" s="101">
        <v>0</v>
      </c>
      <c r="F108" s="101">
        <v>0</v>
      </c>
      <c r="G108" s="101">
        <v>0</v>
      </c>
      <c r="H108" s="101">
        <v>0</v>
      </c>
      <c r="I108" s="101">
        <v>0</v>
      </c>
      <c r="J108" s="101">
        <v>0</v>
      </c>
      <c r="K108" s="101">
        <v>0</v>
      </c>
      <c r="L108" s="101">
        <v>0</v>
      </c>
      <c r="M108" s="101">
        <v>0</v>
      </c>
      <c r="N108" s="101">
        <v>0</v>
      </c>
      <c r="O108" s="101">
        <v>0</v>
      </c>
    </row>
    <row r="109" spans="1:15" x14ac:dyDescent="0.25">
      <c r="A109" s="102">
        <v>41744</v>
      </c>
      <c r="B109" s="101">
        <v>0</v>
      </c>
      <c r="C109" s="101">
        <v>0</v>
      </c>
      <c r="D109" s="101">
        <v>0</v>
      </c>
      <c r="E109" s="101">
        <v>0</v>
      </c>
      <c r="F109" s="101">
        <v>0</v>
      </c>
      <c r="G109" s="101">
        <v>0</v>
      </c>
      <c r="H109" s="101">
        <v>0</v>
      </c>
      <c r="I109" s="101">
        <v>0</v>
      </c>
      <c r="J109" s="101">
        <v>0</v>
      </c>
      <c r="K109" s="101">
        <v>0</v>
      </c>
      <c r="L109" s="101">
        <v>0</v>
      </c>
      <c r="M109" s="101">
        <v>0</v>
      </c>
      <c r="N109" s="101">
        <v>0</v>
      </c>
      <c r="O109" s="101">
        <v>0</v>
      </c>
    </row>
    <row r="110" spans="1:15" x14ac:dyDescent="0.25">
      <c r="A110" s="102">
        <v>41745</v>
      </c>
      <c r="B110" s="101">
        <v>0</v>
      </c>
      <c r="C110" s="101">
        <v>0</v>
      </c>
      <c r="D110" s="101">
        <v>0</v>
      </c>
      <c r="E110" s="101">
        <v>0</v>
      </c>
      <c r="F110" s="101">
        <v>0</v>
      </c>
      <c r="G110" s="101">
        <v>0</v>
      </c>
      <c r="H110" s="101">
        <v>0</v>
      </c>
      <c r="I110" s="101">
        <v>0</v>
      </c>
      <c r="J110" s="101">
        <v>0</v>
      </c>
      <c r="K110" s="101">
        <v>0</v>
      </c>
      <c r="L110" s="101">
        <v>0</v>
      </c>
      <c r="M110" s="101">
        <v>0</v>
      </c>
      <c r="N110" s="101">
        <v>0</v>
      </c>
      <c r="O110" s="101">
        <v>0</v>
      </c>
    </row>
    <row r="111" spans="1:15" x14ac:dyDescent="0.25">
      <c r="A111" s="102">
        <v>41746</v>
      </c>
      <c r="B111" s="101">
        <v>0</v>
      </c>
      <c r="C111" s="101">
        <v>0</v>
      </c>
      <c r="D111" s="101">
        <v>0</v>
      </c>
      <c r="E111" s="101">
        <v>0</v>
      </c>
      <c r="F111" s="101">
        <v>0</v>
      </c>
      <c r="G111" s="101">
        <v>0</v>
      </c>
      <c r="H111" s="101">
        <v>0</v>
      </c>
      <c r="I111" s="101">
        <v>0</v>
      </c>
      <c r="J111" s="101">
        <v>0</v>
      </c>
      <c r="K111" s="101">
        <v>0</v>
      </c>
      <c r="L111" s="101">
        <v>0</v>
      </c>
      <c r="M111" s="101">
        <v>0</v>
      </c>
      <c r="N111" s="101">
        <v>0</v>
      </c>
      <c r="O111" s="101">
        <v>0</v>
      </c>
    </row>
    <row r="112" spans="1:15" x14ac:dyDescent="0.25">
      <c r="A112" s="102">
        <v>41747</v>
      </c>
      <c r="B112" s="101">
        <v>0</v>
      </c>
      <c r="C112" s="101">
        <v>0</v>
      </c>
      <c r="D112" s="101">
        <v>0</v>
      </c>
      <c r="E112" s="101">
        <v>0</v>
      </c>
      <c r="F112" s="101">
        <v>0</v>
      </c>
      <c r="G112" s="101">
        <v>0</v>
      </c>
      <c r="H112" s="101">
        <v>0</v>
      </c>
      <c r="I112" s="101">
        <v>0</v>
      </c>
      <c r="J112" s="101">
        <v>0</v>
      </c>
      <c r="K112" s="101">
        <v>0</v>
      </c>
      <c r="L112" s="101">
        <v>0</v>
      </c>
      <c r="M112" s="101">
        <v>0</v>
      </c>
      <c r="N112" s="101">
        <v>0</v>
      </c>
      <c r="O112" s="101">
        <v>0</v>
      </c>
    </row>
    <row r="113" spans="1:15" x14ac:dyDescent="0.25">
      <c r="A113" s="102">
        <v>41748</v>
      </c>
      <c r="B113" s="101">
        <v>0</v>
      </c>
      <c r="C113" s="101">
        <v>0</v>
      </c>
      <c r="D113" s="101">
        <v>0</v>
      </c>
      <c r="E113" s="101">
        <v>0</v>
      </c>
      <c r="F113" s="101">
        <v>0</v>
      </c>
      <c r="G113" s="101">
        <v>0</v>
      </c>
      <c r="H113" s="101">
        <v>0</v>
      </c>
      <c r="I113" s="101">
        <v>0</v>
      </c>
      <c r="J113" s="101">
        <v>0</v>
      </c>
      <c r="K113" s="101">
        <v>0</v>
      </c>
      <c r="L113" s="101">
        <v>0</v>
      </c>
      <c r="M113" s="101">
        <v>0</v>
      </c>
      <c r="N113" s="101">
        <v>0</v>
      </c>
      <c r="O113" s="101">
        <v>0</v>
      </c>
    </row>
    <row r="114" spans="1:15" x14ac:dyDescent="0.25">
      <c r="A114" s="102">
        <v>41749</v>
      </c>
      <c r="B114" s="101">
        <v>0</v>
      </c>
      <c r="C114" s="101">
        <v>0</v>
      </c>
      <c r="D114" s="101">
        <v>0</v>
      </c>
      <c r="E114" s="101">
        <v>0</v>
      </c>
      <c r="F114" s="101">
        <v>0</v>
      </c>
      <c r="G114" s="101">
        <v>0</v>
      </c>
      <c r="H114" s="101">
        <v>0</v>
      </c>
      <c r="I114" s="101">
        <v>0</v>
      </c>
      <c r="J114" s="101">
        <v>0</v>
      </c>
      <c r="K114" s="101">
        <v>0</v>
      </c>
      <c r="L114" s="101">
        <v>0</v>
      </c>
      <c r="M114" s="101">
        <v>0</v>
      </c>
      <c r="N114" s="101">
        <v>0</v>
      </c>
      <c r="O114" s="101">
        <v>0</v>
      </c>
    </row>
    <row r="115" spans="1:15" x14ac:dyDescent="0.25">
      <c r="A115" s="102">
        <v>41750</v>
      </c>
      <c r="B115" s="101">
        <v>0</v>
      </c>
      <c r="C115" s="101">
        <v>0</v>
      </c>
      <c r="D115" s="101">
        <v>0</v>
      </c>
      <c r="E115" s="101">
        <v>0</v>
      </c>
      <c r="F115" s="101">
        <v>0</v>
      </c>
      <c r="G115" s="101">
        <v>0</v>
      </c>
      <c r="H115" s="101">
        <v>0</v>
      </c>
      <c r="I115" s="101">
        <v>0</v>
      </c>
      <c r="J115" s="101">
        <v>0</v>
      </c>
      <c r="K115" s="101">
        <v>0</v>
      </c>
      <c r="L115" s="101">
        <v>0</v>
      </c>
      <c r="M115" s="101">
        <v>0</v>
      </c>
      <c r="N115" s="101">
        <v>0</v>
      </c>
      <c r="O115" s="101">
        <v>0</v>
      </c>
    </row>
    <row r="116" spans="1:15" x14ac:dyDescent="0.25">
      <c r="A116" s="102">
        <v>41751</v>
      </c>
      <c r="B116" s="101">
        <v>0</v>
      </c>
      <c r="C116" s="101">
        <v>0</v>
      </c>
      <c r="D116" s="101">
        <v>0</v>
      </c>
      <c r="E116" s="101">
        <v>0</v>
      </c>
      <c r="F116" s="101">
        <v>0</v>
      </c>
      <c r="G116" s="101">
        <v>0</v>
      </c>
      <c r="H116" s="101">
        <v>0</v>
      </c>
      <c r="I116" s="101">
        <v>0</v>
      </c>
      <c r="J116" s="101">
        <v>0</v>
      </c>
      <c r="K116" s="101">
        <v>0</v>
      </c>
      <c r="L116" s="101">
        <v>0</v>
      </c>
      <c r="M116" s="101">
        <v>0</v>
      </c>
      <c r="N116" s="101">
        <v>0</v>
      </c>
      <c r="O116" s="101">
        <v>0</v>
      </c>
    </row>
    <row r="117" spans="1:15" x14ac:dyDescent="0.25">
      <c r="A117" s="102">
        <v>41752</v>
      </c>
      <c r="B117" s="101">
        <v>0</v>
      </c>
      <c r="C117" s="101">
        <v>0</v>
      </c>
      <c r="D117" s="101">
        <v>0</v>
      </c>
      <c r="E117" s="101">
        <v>0</v>
      </c>
      <c r="F117" s="101">
        <v>0</v>
      </c>
      <c r="G117" s="101">
        <v>0</v>
      </c>
      <c r="H117" s="101">
        <v>0</v>
      </c>
      <c r="I117" s="101">
        <v>0</v>
      </c>
      <c r="J117" s="101">
        <v>0</v>
      </c>
      <c r="K117" s="101">
        <v>0</v>
      </c>
      <c r="L117" s="101">
        <v>0</v>
      </c>
      <c r="M117" s="101">
        <v>0</v>
      </c>
      <c r="N117" s="101">
        <v>0</v>
      </c>
      <c r="O117" s="101">
        <v>0</v>
      </c>
    </row>
    <row r="118" spans="1:15" x14ac:dyDescent="0.25">
      <c r="A118" s="102">
        <v>41753</v>
      </c>
      <c r="B118" s="101">
        <v>0</v>
      </c>
      <c r="C118" s="101">
        <v>0</v>
      </c>
      <c r="D118" s="101">
        <v>0</v>
      </c>
      <c r="E118" s="101">
        <v>0</v>
      </c>
      <c r="F118" s="101">
        <v>0</v>
      </c>
      <c r="G118" s="101">
        <v>0</v>
      </c>
      <c r="H118" s="101">
        <v>0</v>
      </c>
      <c r="I118" s="101">
        <v>0</v>
      </c>
      <c r="J118" s="101">
        <v>0</v>
      </c>
      <c r="K118" s="101">
        <v>0</v>
      </c>
      <c r="L118" s="101">
        <v>0</v>
      </c>
      <c r="M118" s="101">
        <v>0</v>
      </c>
      <c r="N118" s="101">
        <v>0</v>
      </c>
      <c r="O118" s="101">
        <v>0</v>
      </c>
    </row>
    <row r="119" spans="1:15" x14ac:dyDescent="0.25">
      <c r="A119" s="102">
        <v>41754</v>
      </c>
      <c r="B119" s="101">
        <v>0</v>
      </c>
      <c r="C119" s="101">
        <v>0</v>
      </c>
      <c r="D119" s="101">
        <v>0</v>
      </c>
      <c r="E119" s="101">
        <v>0</v>
      </c>
      <c r="F119" s="101">
        <v>0</v>
      </c>
      <c r="G119" s="101">
        <v>0</v>
      </c>
      <c r="H119" s="101">
        <v>0</v>
      </c>
      <c r="I119" s="101">
        <v>0</v>
      </c>
      <c r="J119" s="101">
        <v>0</v>
      </c>
      <c r="K119" s="101">
        <v>0</v>
      </c>
      <c r="L119" s="101">
        <v>0</v>
      </c>
      <c r="M119" s="101">
        <v>0</v>
      </c>
      <c r="N119" s="101">
        <v>0</v>
      </c>
      <c r="O119" s="101">
        <v>0</v>
      </c>
    </row>
    <row r="120" spans="1:15" x14ac:dyDescent="0.25">
      <c r="A120" s="102">
        <v>41755</v>
      </c>
      <c r="B120" s="101">
        <v>0</v>
      </c>
      <c r="C120" s="101">
        <v>0</v>
      </c>
      <c r="D120" s="101">
        <v>0</v>
      </c>
      <c r="E120" s="101">
        <v>0</v>
      </c>
      <c r="F120" s="101">
        <v>0</v>
      </c>
      <c r="G120" s="101">
        <v>0</v>
      </c>
      <c r="H120" s="101">
        <v>0</v>
      </c>
      <c r="I120" s="101">
        <v>0</v>
      </c>
      <c r="J120" s="101">
        <v>0</v>
      </c>
      <c r="K120" s="101">
        <v>0</v>
      </c>
      <c r="L120" s="101">
        <v>0</v>
      </c>
      <c r="M120" s="101">
        <v>0</v>
      </c>
      <c r="N120" s="101">
        <v>0</v>
      </c>
      <c r="O120" s="101">
        <v>0</v>
      </c>
    </row>
    <row r="121" spans="1:15" x14ac:dyDescent="0.25">
      <c r="A121" s="102">
        <v>41756</v>
      </c>
      <c r="B121" s="101">
        <v>0</v>
      </c>
      <c r="C121" s="101">
        <v>0</v>
      </c>
      <c r="D121" s="101">
        <v>0</v>
      </c>
      <c r="E121" s="101">
        <v>0</v>
      </c>
      <c r="F121" s="101">
        <v>0</v>
      </c>
      <c r="G121" s="101">
        <v>0</v>
      </c>
      <c r="H121" s="101">
        <v>0</v>
      </c>
      <c r="I121" s="101">
        <v>0</v>
      </c>
      <c r="J121" s="101">
        <v>0</v>
      </c>
      <c r="K121" s="101">
        <v>0</v>
      </c>
      <c r="L121" s="101">
        <v>0</v>
      </c>
      <c r="M121" s="101">
        <v>0</v>
      </c>
      <c r="N121" s="101">
        <v>0</v>
      </c>
      <c r="O121" s="101">
        <v>0</v>
      </c>
    </row>
    <row r="122" spans="1:15" x14ac:dyDescent="0.25">
      <c r="A122" s="102">
        <v>41757</v>
      </c>
      <c r="B122" s="101">
        <v>0</v>
      </c>
      <c r="C122" s="101">
        <v>0</v>
      </c>
      <c r="D122" s="101">
        <v>0</v>
      </c>
      <c r="E122" s="101">
        <v>0</v>
      </c>
      <c r="F122" s="101">
        <v>0</v>
      </c>
      <c r="G122" s="101">
        <v>0</v>
      </c>
      <c r="H122" s="101">
        <v>0</v>
      </c>
      <c r="I122" s="101">
        <v>0</v>
      </c>
      <c r="J122" s="101">
        <v>0</v>
      </c>
      <c r="K122" s="101">
        <v>0</v>
      </c>
      <c r="L122" s="101">
        <v>0</v>
      </c>
      <c r="M122" s="101">
        <v>0</v>
      </c>
      <c r="N122" s="101">
        <v>0</v>
      </c>
      <c r="O122" s="101">
        <v>0</v>
      </c>
    </row>
    <row r="123" spans="1:15" x14ac:dyDescent="0.25">
      <c r="A123" s="102">
        <v>41758</v>
      </c>
      <c r="B123" s="101">
        <v>0</v>
      </c>
      <c r="C123" s="101">
        <v>0</v>
      </c>
      <c r="D123" s="101">
        <v>0</v>
      </c>
      <c r="E123" s="101">
        <v>0</v>
      </c>
      <c r="F123" s="101">
        <v>0</v>
      </c>
      <c r="G123" s="101">
        <v>0</v>
      </c>
      <c r="H123" s="101">
        <v>0</v>
      </c>
      <c r="I123" s="101">
        <v>0</v>
      </c>
      <c r="J123" s="101">
        <v>0</v>
      </c>
      <c r="K123" s="101">
        <v>0</v>
      </c>
      <c r="L123" s="101">
        <v>0</v>
      </c>
      <c r="M123" s="101">
        <v>0</v>
      </c>
      <c r="N123" s="101">
        <v>0</v>
      </c>
      <c r="O123" s="101">
        <v>0</v>
      </c>
    </row>
    <row r="124" spans="1:15" x14ac:dyDescent="0.25">
      <c r="A124" s="102">
        <v>41759</v>
      </c>
      <c r="B124" s="101">
        <v>1</v>
      </c>
      <c r="C124" s="101">
        <v>3</v>
      </c>
      <c r="D124" s="101">
        <v>0</v>
      </c>
      <c r="E124" s="101">
        <v>0</v>
      </c>
      <c r="F124" s="101">
        <v>0</v>
      </c>
      <c r="G124" s="101">
        <v>0</v>
      </c>
      <c r="H124" s="101">
        <v>0</v>
      </c>
      <c r="I124" s="101">
        <v>0</v>
      </c>
      <c r="J124" s="101">
        <v>0</v>
      </c>
      <c r="K124" s="101">
        <v>0</v>
      </c>
      <c r="L124" s="101">
        <v>0</v>
      </c>
      <c r="M124" s="101">
        <v>0</v>
      </c>
      <c r="N124" s="101">
        <v>0</v>
      </c>
      <c r="O124" s="101">
        <v>0</v>
      </c>
    </row>
    <row r="125" spans="1:15" x14ac:dyDescent="0.25">
      <c r="B125" s="101">
        <v>0</v>
      </c>
      <c r="C125" s="101">
        <v>0</v>
      </c>
      <c r="D125" s="101">
        <v>0</v>
      </c>
      <c r="E125" s="101">
        <v>0</v>
      </c>
      <c r="F125" s="101">
        <v>0</v>
      </c>
      <c r="G125" s="101">
        <v>0</v>
      </c>
      <c r="H125" s="101">
        <v>0</v>
      </c>
      <c r="I125" s="101">
        <v>0</v>
      </c>
      <c r="J125" s="101">
        <v>0</v>
      </c>
      <c r="K125" s="101">
        <v>0</v>
      </c>
      <c r="L125" s="101">
        <v>0</v>
      </c>
      <c r="M125" s="101">
        <v>0</v>
      </c>
      <c r="N125" s="101">
        <v>0</v>
      </c>
      <c r="O125" s="101">
        <v>0</v>
      </c>
    </row>
    <row r="126" spans="1:15" x14ac:dyDescent="0.25">
      <c r="A126" s="102">
        <v>41760</v>
      </c>
      <c r="B126" s="101">
        <v>2</v>
      </c>
      <c r="C126" s="101">
        <v>3</v>
      </c>
      <c r="D126" s="101">
        <v>0</v>
      </c>
      <c r="E126" s="101">
        <v>0</v>
      </c>
      <c r="F126" s="101">
        <v>0</v>
      </c>
      <c r="G126" s="101">
        <v>0</v>
      </c>
      <c r="H126" s="101">
        <v>0</v>
      </c>
      <c r="I126" s="101">
        <v>1</v>
      </c>
      <c r="J126" s="101">
        <v>0</v>
      </c>
      <c r="K126" s="101">
        <v>1</v>
      </c>
      <c r="L126" s="101">
        <v>0</v>
      </c>
      <c r="M126" s="101">
        <v>1</v>
      </c>
      <c r="N126" s="101">
        <v>0</v>
      </c>
      <c r="O126" s="101">
        <v>0</v>
      </c>
    </row>
    <row r="127" spans="1:15" x14ac:dyDescent="0.25">
      <c r="A127" s="102">
        <v>41761</v>
      </c>
      <c r="B127" s="101">
        <v>7</v>
      </c>
      <c r="C127" s="101">
        <v>15</v>
      </c>
      <c r="D127" s="101">
        <v>0</v>
      </c>
      <c r="E127" s="101">
        <v>0</v>
      </c>
      <c r="F127" s="101">
        <v>0</v>
      </c>
      <c r="G127" s="101">
        <v>0</v>
      </c>
      <c r="H127" s="101">
        <v>0</v>
      </c>
      <c r="I127" s="101">
        <v>1</v>
      </c>
      <c r="J127" s="101">
        <v>0</v>
      </c>
      <c r="K127" s="101">
        <v>1</v>
      </c>
      <c r="L127" s="101">
        <v>0</v>
      </c>
      <c r="M127" s="101">
        <v>4</v>
      </c>
      <c r="N127" s="101">
        <v>0</v>
      </c>
      <c r="O127" s="101">
        <v>0</v>
      </c>
    </row>
    <row r="128" spans="1:15" x14ac:dyDescent="0.25">
      <c r="A128" s="102">
        <v>41762</v>
      </c>
      <c r="B128" s="101">
        <v>4</v>
      </c>
      <c r="C128" s="101">
        <v>9</v>
      </c>
      <c r="D128" s="101">
        <v>0</v>
      </c>
      <c r="E128" s="101">
        <v>1</v>
      </c>
      <c r="F128" s="101">
        <v>0</v>
      </c>
      <c r="G128" s="101">
        <v>0</v>
      </c>
      <c r="H128" s="101">
        <v>0</v>
      </c>
      <c r="I128" s="101">
        <v>3</v>
      </c>
      <c r="J128" s="101">
        <v>0</v>
      </c>
      <c r="K128" s="101">
        <v>3</v>
      </c>
      <c r="L128" s="101">
        <v>0</v>
      </c>
      <c r="M128" s="101">
        <v>8</v>
      </c>
      <c r="N128" s="101">
        <v>0</v>
      </c>
      <c r="O128" s="101">
        <v>0</v>
      </c>
    </row>
    <row r="129" spans="1:15" x14ac:dyDescent="0.25">
      <c r="A129" s="102">
        <v>41763</v>
      </c>
      <c r="B129" s="101">
        <v>13</v>
      </c>
      <c r="C129" s="101">
        <v>22</v>
      </c>
      <c r="D129" s="101">
        <v>1</v>
      </c>
      <c r="E129" s="101">
        <v>8</v>
      </c>
      <c r="F129" s="101">
        <v>0</v>
      </c>
      <c r="G129" s="101">
        <v>0</v>
      </c>
      <c r="H129" s="101">
        <v>0</v>
      </c>
      <c r="I129" s="101">
        <v>11</v>
      </c>
      <c r="J129" s="101">
        <v>0</v>
      </c>
      <c r="K129" s="101">
        <v>12</v>
      </c>
      <c r="L129" s="101">
        <v>0</v>
      </c>
      <c r="M129" s="101">
        <v>30</v>
      </c>
      <c r="N129" s="101">
        <v>0</v>
      </c>
      <c r="O129" s="101">
        <v>0</v>
      </c>
    </row>
    <row r="130" spans="1:15" x14ac:dyDescent="0.25">
      <c r="A130" s="102">
        <v>41764</v>
      </c>
      <c r="B130" s="101">
        <v>11</v>
      </c>
      <c r="C130" s="101">
        <v>25</v>
      </c>
      <c r="D130" s="101">
        <v>3</v>
      </c>
      <c r="E130" s="101">
        <v>7</v>
      </c>
      <c r="F130" s="101">
        <v>0</v>
      </c>
      <c r="G130" s="101">
        <v>0</v>
      </c>
      <c r="H130" s="101">
        <v>0</v>
      </c>
      <c r="I130" s="101">
        <v>12</v>
      </c>
      <c r="J130" s="101">
        <v>0</v>
      </c>
      <c r="K130" s="101">
        <v>12</v>
      </c>
      <c r="L130" s="101">
        <v>0</v>
      </c>
      <c r="M130" s="101">
        <v>34</v>
      </c>
      <c r="N130" s="101">
        <v>0</v>
      </c>
      <c r="O130" s="101">
        <v>0</v>
      </c>
    </row>
    <row r="131" spans="1:15" x14ac:dyDescent="0.25">
      <c r="A131" s="102">
        <v>41765</v>
      </c>
      <c r="B131" s="101">
        <v>46</v>
      </c>
      <c r="C131" s="101">
        <v>78</v>
      </c>
      <c r="D131" s="101">
        <v>0</v>
      </c>
      <c r="E131" s="101">
        <v>3</v>
      </c>
      <c r="F131" s="101">
        <v>0</v>
      </c>
      <c r="G131" s="101">
        <v>0</v>
      </c>
      <c r="H131" s="101">
        <v>0</v>
      </c>
      <c r="I131" s="101">
        <v>6</v>
      </c>
      <c r="J131" s="101">
        <v>0</v>
      </c>
      <c r="K131" s="101">
        <v>7</v>
      </c>
      <c r="L131" s="101">
        <v>0</v>
      </c>
      <c r="M131" s="101">
        <v>23</v>
      </c>
      <c r="N131" s="101">
        <v>0</v>
      </c>
      <c r="O131" s="101">
        <v>0</v>
      </c>
    </row>
    <row r="132" spans="1:15" x14ac:dyDescent="0.25">
      <c r="A132" s="102">
        <v>41766</v>
      </c>
      <c r="B132" s="101">
        <v>49</v>
      </c>
      <c r="C132" s="101">
        <v>84</v>
      </c>
      <c r="D132" s="101">
        <v>2</v>
      </c>
      <c r="E132" s="101">
        <v>4</v>
      </c>
      <c r="F132" s="101">
        <v>0</v>
      </c>
      <c r="G132" s="101">
        <v>0</v>
      </c>
      <c r="H132" s="101">
        <v>0</v>
      </c>
      <c r="I132" s="101">
        <v>11</v>
      </c>
      <c r="J132" s="101">
        <v>0</v>
      </c>
      <c r="K132" s="101">
        <v>12</v>
      </c>
      <c r="L132" s="101">
        <v>0</v>
      </c>
      <c r="M132" s="101">
        <v>38</v>
      </c>
      <c r="N132" s="101">
        <v>0</v>
      </c>
      <c r="O132" s="101">
        <v>0</v>
      </c>
    </row>
    <row r="133" spans="1:15" x14ac:dyDescent="0.25">
      <c r="A133" s="102">
        <v>41767</v>
      </c>
      <c r="B133" s="101">
        <v>66</v>
      </c>
      <c r="C133" s="101">
        <v>68</v>
      </c>
      <c r="D133" s="101">
        <v>2</v>
      </c>
      <c r="E133" s="101">
        <v>5</v>
      </c>
      <c r="F133" s="101">
        <v>0</v>
      </c>
      <c r="G133" s="101">
        <v>0</v>
      </c>
      <c r="H133" s="101">
        <v>0</v>
      </c>
      <c r="I133" s="101">
        <v>12</v>
      </c>
      <c r="J133" s="101">
        <v>0</v>
      </c>
      <c r="K133" s="101">
        <v>17</v>
      </c>
      <c r="L133" s="101">
        <v>0</v>
      </c>
      <c r="M133" s="101">
        <v>57</v>
      </c>
      <c r="N133" s="101">
        <v>0</v>
      </c>
      <c r="O133" s="101">
        <v>0</v>
      </c>
    </row>
    <row r="134" spans="1:15" x14ac:dyDescent="0.25">
      <c r="A134" s="102">
        <v>41768</v>
      </c>
      <c r="B134" s="101">
        <v>23</v>
      </c>
      <c r="C134" s="101">
        <v>32</v>
      </c>
      <c r="D134" s="101">
        <v>5</v>
      </c>
      <c r="E134" s="101">
        <v>17</v>
      </c>
      <c r="F134" s="101">
        <v>0</v>
      </c>
      <c r="G134" s="101">
        <v>0</v>
      </c>
      <c r="H134" s="101">
        <v>0</v>
      </c>
      <c r="I134" s="101">
        <v>30</v>
      </c>
      <c r="J134" s="101">
        <v>0</v>
      </c>
      <c r="K134" s="101">
        <v>35</v>
      </c>
      <c r="L134" s="101">
        <v>0</v>
      </c>
      <c r="M134" s="101">
        <v>104</v>
      </c>
      <c r="N134" s="101">
        <v>0</v>
      </c>
      <c r="O134" s="101">
        <v>0</v>
      </c>
    </row>
    <row r="135" spans="1:15" x14ac:dyDescent="0.25">
      <c r="A135" s="102">
        <v>41769</v>
      </c>
      <c r="B135" s="101">
        <v>13</v>
      </c>
      <c r="C135" s="101">
        <v>24</v>
      </c>
      <c r="D135" s="101">
        <v>1</v>
      </c>
      <c r="E135" s="101">
        <v>5</v>
      </c>
      <c r="F135" s="101">
        <v>0</v>
      </c>
      <c r="G135" s="101">
        <v>0</v>
      </c>
      <c r="H135" s="101">
        <v>0</v>
      </c>
      <c r="I135" s="101">
        <v>11</v>
      </c>
      <c r="J135" s="101">
        <v>0</v>
      </c>
      <c r="K135" s="101">
        <v>12</v>
      </c>
      <c r="L135" s="101">
        <v>0</v>
      </c>
      <c r="M135" s="101">
        <v>40</v>
      </c>
      <c r="N135" s="101">
        <v>0</v>
      </c>
      <c r="O135" s="101">
        <v>0</v>
      </c>
    </row>
    <row r="136" spans="1:15" x14ac:dyDescent="0.25">
      <c r="A136" s="102">
        <v>41770</v>
      </c>
      <c r="B136" s="101">
        <v>15</v>
      </c>
      <c r="C136" s="101">
        <v>16</v>
      </c>
      <c r="D136" s="101">
        <v>0</v>
      </c>
      <c r="E136" s="101">
        <v>3</v>
      </c>
      <c r="F136" s="101">
        <v>0</v>
      </c>
      <c r="G136" s="101">
        <v>0</v>
      </c>
      <c r="H136" s="101">
        <v>0</v>
      </c>
      <c r="I136" s="101">
        <v>17</v>
      </c>
      <c r="J136" s="101">
        <v>0</v>
      </c>
      <c r="K136" s="101">
        <v>19</v>
      </c>
      <c r="L136" s="101">
        <v>0</v>
      </c>
      <c r="M136" s="101">
        <v>58</v>
      </c>
      <c r="N136" s="101">
        <v>0</v>
      </c>
      <c r="O136" s="101">
        <v>0</v>
      </c>
    </row>
    <row r="137" spans="1:15" x14ac:dyDescent="0.25">
      <c r="A137" s="102">
        <v>41771</v>
      </c>
      <c r="B137" s="101">
        <v>31</v>
      </c>
      <c r="C137" s="101">
        <v>31</v>
      </c>
      <c r="D137" s="101">
        <v>1</v>
      </c>
      <c r="E137" s="101">
        <v>9</v>
      </c>
      <c r="F137" s="101">
        <v>0</v>
      </c>
      <c r="G137" s="101">
        <v>0</v>
      </c>
      <c r="H137" s="101">
        <v>0</v>
      </c>
      <c r="I137" s="101">
        <v>27</v>
      </c>
      <c r="J137" s="101">
        <v>0</v>
      </c>
      <c r="K137" s="101">
        <v>31</v>
      </c>
      <c r="L137" s="101">
        <v>0</v>
      </c>
      <c r="M137" s="101">
        <v>98</v>
      </c>
      <c r="N137" s="101">
        <v>0</v>
      </c>
      <c r="O137" s="101">
        <v>0</v>
      </c>
    </row>
    <row r="138" spans="1:15" x14ac:dyDescent="0.25">
      <c r="A138" s="102">
        <v>41772</v>
      </c>
      <c r="B138" s="101">
        <v>17</v>
      </c>
      <c r="C138" s="101">
        <v>32</v>
      </c>
      <c r="D138" s="101">
        <v>2</v>
      </c>
      <c r="E138" s="101">
        <v>4</v>
      </c>
      <c r="F138" s="101">
        <v>0</v>
      </c>
      <c r="G138" s="101">
        <v>0</v>
      </c>
      <c r="H138" s="101">
        <v>0</v>
      </c>
      <c r="I138" s="101">
        <v>13</v>
      </c>
      <c r="J138" s="101">
        <v>0</v>
      </c>
      <c r="K138" s="101">
        <v>18</v>
      </c>
      <c r="L138" s="101">
        <v>0</v>
      </c>
      <c r="M138" s="101">
        <v>58</v>
      </c>
      <c r="N138" s="101">
        <v>0</v>
      </c>
      <c r="O138" s="101">
        <v>0</v>
      </c>
    </row>
    <row r="139" spans="1:15" x14ac:dyDescent="0.25">
      <c r="A139" s="102">
        <v>41773</v>
      </c>
      <c r="B139" s="101">
        <v>16</v>
      </c>
      <c r="C139" s="101">
        <v>24</v>
      </c>
      <c r="D139" s="101">
        <v>0</v>
      </c>
      <c r="E139" s="101">
        <v>2</v>
      </c>
      <c r="F139" s="101">
        <v>0</v>
      </c>
      <c r="G139" s="101">
        <v>0</v>
      </c>
      <c r="H139" s="101">
        <v>0</v>
      </c>
      <c r="I139" s="101">
        <v>12</v>
      </c>
      <c r="J139" s="101">
        <v>0</v>
      </c>
      <c r="K139" s="101">
        <v>16</v>
      </c>
      <c r="L139" s="101">
        <v>0</v>
      </c>
      <c r="M139" s="101">
        <v>53</v>
      </c>
      <c r="N139" s="101">
        <v>0</v>
      </c>
      <c r="O139" s="101">
        <v>0</v>
      </c>
    </row>
    <row r="140" spans="1:15" x14ac:dyDescent="0.25">
      <c r="A140" s="102">
        <v>41774</v>
      </c>
      <c r="B140" s="101">
        <v>28</v>
      </c>
      <c r="C140" s="101">
        <v>23</v>
      </c>
      <c r="D140" s="101">
        <v>0</v>
      </c>
      <c r="E140" s="101">
        <v>3</v>
      </c>
      <c r="F140" s="101">
        <v>0</v>
      </c>
      <c r="G140" s="101">
        <v>0</v>
      </c>
      <c r="H140" s="101">
        <v>0</v>
      </c>
      <c r="I140" s="101">
        <v>19</v>
      </c>
      <c r="J140" s="101">
        <v>0</v>
      </c>
      <c r="K140" s="101">
        <v>23</v>
      </c>
      <c r="L140" s="101">
        <v>0</v>
      </c>
      <c r="M140" s="101">
        <v>77</v>
      </c>
      <c r="N140" s="101">
        <v>0</v>
      </c>
      <c r="O140" s="101">
        <v>0</v>
      </c>
    </row>
    <row r="141" spans="1:15" x14ac:dyDescent="0.25">
      <c r="A141" s="102">
        <v>41775</v>
      </c>
      <c r="B141" s="101">
        <v>27</v>
      </c>
      <c r="C141" s="101">
        <v>32</v>
      </c>
      <c r="D141" s="101">
        <v>2</v>
      </c>
      <c r="E141" s="101">
        <v>16</v>
      </c>
      <c r="F141" s="101">
        <v>0</v>
      </c>
      <c r="G141" s="101">
        <v>0</v>
      </c>
      <c r="H141" s="101">
        <v>0</v>
      </c>
      <c r="I141" s="101">
        <v>31</v>
      </c>
      <c r="J141" s="101">
        <v>0</v>
      </c>
      <c r="K141" s="101">
        <v>38</v>
      </c>
      <c r="L141" s="101">
        <v>0</v>
      </c>
      <c r="M141" s="101">
        <v>116</v>
      </c>
      <c r="N141" s="101">
        <v>0</v>
      </c>
      <c r="O141" s="101">
        <v>0</v>
      </c>
    </row>
    <row r="142" spans="1:15" x14ac:dyDescent="0.25">
      <c r="A142" s="102">
        <v>41776</v>
      </c>
      <c r="B142" s="101">
        <v>8</v>
      </c>
      <c r="C142" s="101">
        <v>12</v>
      </c>
      <c r="D142" s="101">
        <v>0</v>
      </c>
      <c r="E142" s="101">
        <v>4</v>
      </c>
      <c r="F142" s="101">
        <v>0</v>
      </c>
      <c r="G142" s="101">
        <v>0</v>
      </c>
      <c r="H142" s="101">
        <v>0</v>
      </c>
      <c r="I142" s="101">
        <v>11</v>
      </c>
      <c r="J142" s="101">
        <v>0</v>
      </c>
      <c r="K142" s="101">
        <v>12</v>
      </c>
      <c r="L142" s="101">
        <v>0</v>
      </c>
      <c r="M142" s="101">
        <v>38</v>
      </c>
      <c r="N142" s="101">
        <v>0</v>
      </c>
      <c r="O142" s="101">
        <v>0</v>
      </c>
    </row>
    <row r="143" spans="1:15" x14ac:dyDescent="0.25">
      <c r="A143" s="102">
        <v>41777</v>
      </c>
      <c r="B143" s="101">
        <v>9</v>
      </c>
      <c r="C143" s="101">
        <v>14</v>
      </c>
      <c r="D143" s="101">
        <v>1</v>
      </c>
      <c r="E143" s="101">
        <v>2</v>
      </c>
      <c r="F143" s="101">
        <v>0</v>
      </c>
      <c r="G143" s="101">
        <v>0</v>
      </c>
      <c r="H143" s="101">
        <v>0</v>
      </c>
      <c r="I143" s="101">
        <v>18</v>
      </c>
      <c r="J143" s="101">
        <v>0</v>
      </c>
      <c r="K143" s="101">
        <v>19</v>
      </c>
      <c r="L143" s="101">
        <v>0</v>
      </c>
      <c r="M143" s="101">
        <v>58</v>
      </c>
      <c r="N143" s="101">
        <v>0</v>
      </c>
      <c r="O143" s="101">
        <v>0</v>
      </c>
    </row>
    <row r="144" spans="1:15" x14ac:dyDescent="0.25">
      <c r="A144" s="102">
        <v>41778</v>
      </c>
      <c r="B144" s="101">
        <v>15</v>
      </c>
      <c r="C144" s="101">
        <v>13</v>
      </c>
      <c r="D144" s="101">
        <v>1</v>
      </c>
      <c r="E144" s="101">
        <v>1</v>
      </c>
      <c r="F144" s="101">
        <v>0</v>
      </c>
      <c r="G144" s="101">
        <v>0</v>
      </c>
      <c r="H144" s="101">
        <v>0</v>
      </c>
      <c r="I144" s="101">
        <v>23</v>
      </c>
      <c r="J144" s="101">
        <v>0</v>
      </c>
      <c r="K144" s="101">
        <v>27</v>
      </c>
      <c r="L144" s="101">
        <v>0</v>
      </c>
      <c r="M144" s="101">
        <v>91</v>
      </c>
      <c r="N144" s="101">
        <v>0</v>
      </c>
      <c r="O144" s="101">
        <v>0</v>
      </c>
    </row>
    <row r="145" spans="1:15" x14ac:dyDescent="0.25">
      <c r="A145" s="102">
        <v>41779</v>
      </c>
      <c r="B145" s="101">
        <v>19</v>
      </c>
      <c r="C145" s="101">
        <v>16</v>
      </c>
      <c r="D145" s="101">
        <v>1</v>
      </c>
      <c r="E145" s="101">
        <v>2</v>
      </c>
      <c r="F145" s="101">
        <v>0</v>
      </c>
      <c r="G145" s="101">
        <v>0</v>
      </c>
      <c r="H145" s="101">
        <v>0</v>
      </c>
      <c r="I145" s="101">
        <v>12</v>
      </c>
      <c r="J145" s="101">
        <v>0</v>
      </c>
      <c r="K145" s="101">
        <v>19</v>
      </c>
      <c r="L145" s="101">
        <v>0</v>
      </c>
      <c r="M145" s="101">
        <v>66</v>
      </c>
      <c r="N145" s="101">
        <v>0</v>
      </c>
      <c r="O145" s="101">
        <v>0</v>
      </c>
    </row>
    <row r="146" spans="1:15" x14ac:dyDescent="0.25">
      <c r="A146" s="102">
        <v>41780</v>
      </c>
      <c r="B146" s="101">
        <v>18</v>
      </c>
      <c r="C146" s="101">
        <v>32</v>
      </c>
      <c r="D146" s="101">
        <v>0</v>
      </c>
      <c r="E146" s="101">
        <v>0</v>
      </c>
      <c r="F146" s="101">
        <v>0</v>
      </c>
      <c r="G146" s="101">
        <v>0</v>
      </c>
      <c r="H146" s="101">
        <v>0</v>
      </c>
      <c r="I146" s="101">
        <v>11</v>
      </c>
      <c r="J146" s="101">
        <v>0</v>
      </c>
      <c r="K146" s="101">
        <v>17</v>
      </c>
      <c r="L146" s="101">
        <v>0</v>
      </c>
      <c r="M146" s="101">
        <v>59</v>
      </c>
      <c r="N146" s="101">
        <v>0</v>
      </c>
      <c r="O146" s="101">
        <v>0</v>
      </c>
    </row>
    <row r="147" spans="1:15" x14ac:dyDescent="0.25">
      <c r="A147" s="102">
        <v>41781</v>
      </c>
      <c r="B147" s="101">
        <v>17</v>
      </c>
      <c r="C147" s="101">
        <v>26</v>
      </c>
      <c r="D147" s="101">
        <v>1</v>
      </c>
      <c r="E147" s="101">
        <v>2</v>
      </c>
      <c r="F147" s="101">
        <v>0</v>
      </c>
      <c r="G147" s="101">
        <v>0</v>
      </c>
      <c r="H147" s="101">
        <v>0</v>
      </c>
      <c r="I147" s="101">
        <v>14</v>
      </c>
      <c r="J147" s="101">
        <v>0</v>
      </c>
      <c r="K147" s="101">
        <v>22</v>
      </c>
      <c r="L147" s="101">
        <v>0</v>
      </c>
      <c r="M147" s="101">
        <v>73</v>
      </c>
      <c r="N147" s="101">
        <v>0</v>
      </c>
      <c r="O147" s="101">
        <v>0</v>
      </c>
    </row>
    <row r="148" spans="1:15" x14ac:dyDescent="0.25">
      <c r="A148" s="102">
        <v>41782</v>
      </c>
      <c r="B148" s="101">
        <v>41</v>
      </c>
      <c r="C148" s="101">
        <v>49</v>
      </c>
      <c r="D148" s="101">
        <v>2</v>
      </c>
      <c r="E148" s="101">
        <v>9</v>
      </c>
      <c r="F148" s="101">
        <v>0</v>
      </c>
      <c r="G148" s="101">
        <v>0</v>
      </c>
      <c r="H148" s="101">
        <v>0</v>
      </c>
      <c r="I148" s="101">
        <v>26</v>
      </c>
      <c r="J148" s="101">
        <v>0</v>
      </c>
      <c r="K148" s="101">
        <v>35</v>
      </c>
      <c r="L148" s="101">
        <v>0</v>
      </c>
      <c r="M148" s="101">
        <v>119</v>
      </c>
      <c r="N148" s="101">
        <v>0</v>
      </c>
      <c r="O148" s="101">
        <v>0</v>
      </c>
    </row>
    <row r="149" spans="1:15" x14ac:dyDescent="0.25">
      <c r="A149" s="102">
        <v>41783</v>
      </c>
      <c r="B149" s="101">
        <v>17</v>
      </c>
      <c r="C149" s="101">
        <v>15</v>
      </c>
      <c r="D149" s="101">
        <v>2</v>
      </c>
      <c r="E149" s="101">
        <v>3</v>
      </c>
      <c r="F149" s="101">
        <v>0</v>
      </c>
      <c r="G149" s="101">
        <v>0</v>
      </c>
      <c r="H149" s="101">
        <v>0</v>
      </c>
      <c r="I149" s="101">
        <v>11</v>
      </c>
      <c r="J149" s="101">
        <v>0</v>
      </c>
      <c r="K149" s="101">
        <v>13</v>
      </c>
      <c r="L149" s="101">
        <v>0</v>
      </c>
      <c r="M149" s="101">
        <v>44</v>
      </c>
      <c r="N149" s="101">
        <v>0</v>
      </c>
      <c r="O149" s="101">
        <v>0</v>
      </c>
    </row>
    <row r="150" spans="1:15" x14ac:dyDescent="0.25">
      <c r="A150" s="102">
        <v>41784</v>
      </c>
      <c r="B150" s="101">
        <v>16</v>
      </c>
      <c r="C150" s="101">
        <v>18</v>
      </c>
      <c r="D150" s="101">
        <v>1</v>
      </c>
      <c r="E150" s="101">
        <v>4</v>
      </c>
      <c r="F150" s="101">
        <v>0</v>
      </c>
      <c r="G150" s="101">
        <v>0</v>
      </c>
      <c r="H150" s="101">
        <v>0</v>
      </c>
      <c r="I150" s="101">
        <v>20</v>
      </c>
      <c r="J150" s="101">
        <v>0</v>
      </c>
      <c r="K150" s="101">
        <v>21</v>
      </c>
      <c r="L150" s="101">
        <v>0</v>
      </c>
      <c r="M150" s="101">
        <v>64</v>
      </c>
      <c r="N150" s="101">
        <v>0</v>
      </c>
      <c r="O150" s="101">
        <v>0</v>
      </c>
    </row>
    <row r="151" spans="1:15" x14ac:dyDescent="0.25">
      <c r="A151" s="102">
        <v>41785</v>
      </c>
      <c r="B151" s="101">
        <v>22</v>
      </c>
      <c r="C151" s="101">
        <v>34</v>
      </c>
      <c r="D151" s="101">
        <v>0</v>
      </c>
      <c r="E151" s="101">
        <v>3</v>
      </c>
      <c r="F151" s="101">
        <v>0</v>
      </c>
      <c r="G151" s="101">
        <v>0</v>
      </c>
      <c r="H151" s="101">
        <v>0</v>
      </c>
      <c r="I151" s="101">
        <v>22</v>
      </c>
      <c r="J151" s="101">
        <v>0</v>
      </c>
      <c r="K151" s="101">
        <v>27</v>
      </c>
      <c r="L151" s="101">
        <v>0</v>
      </c>
      <c r="M151" s="101">
        <v>90</v>
      </c>
      <c r="N151" s="101">
        <v>0</v>
      </c>
      <c r="O151" s="101">
        <v>0</v>
      </c>
    </row>
    <row r="152" spans="1:15" x14ac:dyDescent="0.25">
      <c r="A152" s="102">
        <v>41786</v>
      </c>
      <c r="B152" s="101">
        <v>25</v>
      </c>
      <c r="C152" s="101">
        <v>22</v>
      </c>
      <c r="D152" s="101">
        <v>4</v>
      </c>
      <c r="E152" s="101">
        <v>3</v>
      </c>
      <c r="F152" s="101">
        <v>0</v>
      </c>
      <c r="G152" s="101">
        <v>0</v>
      </c>
      <c r="H152" s="101">
        <v>0</v>
      </c>
      <c r="I152" s="101">
        <v>18</v>
      </c>
      <c r="J152" s="101">
        <v>0</v>
      </c>
      <c r="K152" s="101">
        <v>26</v>
      </c>
      <c r="L152" s="101">
        <v>0</v>
      </c>
      <c r="M152" s="101">
        <v>78</v>
      </c>
      <c r="N152" s="101">
        <v>0</v>
      </c>
      <c r="O152" s="101">
        <v>0</v>
      </c>
    </row>
    <row r="153" spans="1:15" x14ac:dyDescent="0.25">
      <c r="A153" s="102">
        <v>41787</v>
      </c>
      <c r="B153" s="101">
        <v>39</v>
      </c>
      <c r="C153" s="101">
        <v>38</v>
      </c>
      <c r="D153" s="101">
        <v>1</v>
      </c>
      <c r="E153" s="101">
        <v>1</v>
      </c>
      <c r="F153" s="101">
        <v>0</v>
      </c>
      <c r="G153" s="101">
        <v>0</v>
      </c>
      <c r="H153" s="101">
        <v>0</v>
      </c>
      <c r="I153" s="101">
        <v>13</v>
      </c>
      <c r="J153" s="101">
        <v>0</v>
      </c>
      <c r="K153" s="101">
        <v>19</v>
      </c>
      <c r="L153" s="101">
        <v>0</v>
      </c>
      <c r="M153" s="101">
        <v>60</v>
      </c>
      <c r="N153" s="101">
        <v>0</v>
      </c>
      <c r="O153" s="101">
        <v>0</v>
      </c>
    </row>
    <row r="154" spans="1:15" x14ac:dyDescent="0.25">
      <c r="A154" s="102">
        <v>41788</v>
      </c>
      <c r="B154" s="101">
        <v>27</v>
      </c>
      <c r="C154" s="101">
        <v>36</v>
      </c>
      <c r="D154" s="101">
        <v>0</v>
      </c>
      <c r="E154" s="101">
        <v>0</v>
      </c>
      <c r="F154" s="101">
        <v>0</v>
      </c>
      <c r="G154" s="101">
        <v>0</v>
      </c>
      <c r="H154" s="101">
        <v>0</v>
      </c>
      <c r="I154" s="101">
        <v>19</v>
      </c>
      <c r="J154" s="101">
        <v>0</v>
      </c>
      <c r="K154" s="101">
        <v>24</v>
      </c>
      <c r="L154" s="101">
        <v>0</v>
      </c>
      <c r="M154" s="101">
        <v>79</v>
      </c>
      <c r="N154" s="101">
        <v>0</v>
      </c>
      <c r="O154" s="101">
        <v>0</v>
      </c>
    </row>
    <row r="155" spans="1:15" x14ac:dyDescent="0.25">
      <c r="A155" s="102">
        <v>41789</v>
      </c>
      <c r="B155" s="101">
        <v>8</v>
      </c>
      <c r="C155" s="101">
        <v>21</v>
      </c>
      <c r="D155" s="101">
        <v>2</v>
      </c>
      <c r="E155" s="101">
        <v>14</v>
      </c>
      <c r="F155" s="101">
        <v>0</v>
      </c>
      <c r="G155" s="101">
        <v>0</v>
      </c>
      <c r="H155" s="101">
        <v>0</v>
      </c>
      <c r="I155" s="101">
        <v>31</v>
      </c>
      <c r="J155" s="101">
        <v>0</v>
      </c>
      <c r="K155" s="101">
        <v>39</v>
      </c>
      <c r="L155" s="101">
        <v>0</v>
      </c>
      <c r="M155" s="101">
        <v>116</v>
      </c>
      <c r="N155" s="101">
        <v>0</v>
      </c>
      <c r="O155" s="101">
        <v>0</v>
      </c>
    </row>
    <row r="156" spans="1:15" x14ac:dyDescent="0.25">
      <c r="A156" s="102">
        <v>41790</v>
      </c>
      <c r="B156" s="101">
        <v>23</v>
      </c>
      <c r="C156" s="101">
        <v>33</v>
      </c>
      <c r="D156" s="101">
        <v>3</v>
      </c>
      <c r="E156" s="101">
        <v>10</v>
      </c>
      <c r="F156" s="101">
        <v>0</v>
      </c>
      <c r="G156" s="101">
        <v>0</v>
      </c>
      <c r="H156" s="101">
        <v>0</v>
      </c>
      <c r="I156" s="101">
        <v>21</v>
      </c>
      <c r="J156" s="101">
        <v>0</v>
      </c>
      <c r="K156" s="101">
        <v>24</v>
      </c>
      <c r="L156" s="101">
        <v>0</v>
      </c>
      <c r="M156" s="101">
        <v>75</v>
      </c>
      <c r="N156" s="101">
        <v>0</v>
      </c>
      <c r="O156" s="101">
        <v>0</v>
      </c>
    </row>
    <row r="157" spans="1:15" x14ac:dyDescent="0.25">
      <c r="A157" s="102">
        <v>41791</v>
      </c>
      <c r="B157" s="101">
        <v>38</v>
      </c>
      <c r="C157" s="101">
        <v>43</v>
      </c>
      <c r="D157" s="101">
        <v>1</v>
      </c>
      <c r="E157" s="101">
        <v>6</v>
      </c>
      <c r="F157" s="101">
        <v>0</v>
      </c>
      <c r="G157" s="101">
        <v>0</v>
      </c>
      <c r="H157" s="101">
        <v>0</v>
      </c>
      <c r="I157" s="101">
        <v>24</v>
      </c>
      <c r="J157" s="101">
        <v>0</v>
      </c>
      <c r="K157" s="101">
        <v>24</v>
      </c>
      <c r="L157" s="101">
        <v>0</v>
      </c>
      <c r="M157" s="101">
        <v>64</v>
      </c>
      <c r="N157" s="101">
        <v>0</v>
      </c>
      <c r="O157" s="101">
        <v>0</v>
      </c>
    </row>
    <row r="158" spans="1:15" x14ac:dyDescent="0.25">
      <c r="A158" s="102">
        <v>41792</v>
      </c>
      <c r="B158" s="101">
        <v>50</v>
      </c>
      <c r="C158" s="101">
        <v>36</v>
      </c>
      <c r="D158" s="101">
        <v>1</v>
      </c>
      <c r="E158" s="101">
        <v>9</v>
      </c>
      <c r="F158" s="101">
        <v>0</v>
      </c>
      <c r="G158" s="101">
        <v>0</v>
      </c>
      <c r="H158" s="101">
        <v>0</v>
      </c>
      <c r="I158" s="101">
        <v>34</v>
      </c>
      <c r="J158" s="101">
        <v>0</v>
      </c>
      <c r="K158" s="101">
        <v>34</v>
      </c>
      <c r="L158" s="101">
        <v>0</v>
      </c>
      <c r="M158" s="101">
        <v>101</v>
      </c>
      <c r="N158" s="101">
        <v>0</v>
      </c>
      <c r="O158" s="101">
        <v>0</v>
      </c>
    </row>
    <row r="159" spans="1:15" x14ac:dyDescent="0.25">
      <c r="A159" s="102">
        <v>41793</v>
      </c>
      <c r="B159" s="101">
        <v>43</v>
      </c>
      <c r="C159" s="101">
        <v>31</v>
      </c>
      <c r="D159" s="101">
        <v>0</v>
      </c>
      <c r="E159" s="101">
        <v>1</v>
      </c>
      <c r="F159" s="101">
        <v>0</v>
      </c>
      <c r="G159" s="101">
        <v>0</v>
      </c>
      <c r="H159" s="101">
        <v>0</v>
      </c>
      <c r="I159" s="101">
        <v>10</v>
      </c>
      <c r="J159" s="101">
        <v>0</v>
      </c>
      <c r="K159" s="101">
        <v>11</v>
      </c>
      <c r="L159" s="101">
        <v>0</v>
      </c>
      <c r="M159" s="101">
        <v>39</v>
      </c>
      <c r="N159" s="101">
        <v>0</v>
      </c>
      <c r="O159" s="101">
        <v>0</v>
      </c>
    </row>
    <row r="160" spans="1:15" x14ac:dyDescent="0.25">
      <c r="A160" s="102">
        <v>41794</v>
      </c>
      <c r="B160" s="101">
        <v>23</v>
      </c>
      <c r="C160" s="101">
        <v>30</v>
      </c>
      <c r="D160" s="101">
        <v>2</v>
      </c>
      <c r="E160" s="101">
        <v>0</v>
      </c>
      <c r="F160" s="101">
        <v>0</v>
      </c>
      <c r="G160" s="101">
        <v>0</v>
      </c>
      <c r="H160" s="101">
        <v>0</v>
      </c>
      <c r="I160" s="101">
        <v>9</v>
      </c>
      <c r="J160" s="101">
        <v>0</v>
      </c>
      <c r="K160" s="101">
        <v>12</v>
      </c>
      <c r="L160" s="101">
        <v>0</v>
      </c>
      <c r="M160" s="101">
        <v>37</v>
      </c>
      <c r="N160" s="101">
        <v>0</v>
      </c>
      <c r="O160" s="101">
        <v>0</v>
      </c>
    </row>
    <row r="161" spans="1:15" x14ac:dyDescent="0.25">
      <c r="A161" s="102">
        <v>41795</v>
      </c>
      <c r="B161" s="101">
        <v>63</v>
      </c>
      <c r="C161" s="101">
        <v>61</v>
      </c>
      <c r="D161" s="101">
        <v>1</v>
      </c>
      <c r="E161" s="101">
        <v>9</v>
      </c>
      <c r="F161" s="101">
        <v>0</v>
      </c>
      <c r="G161" s="101">
        <v>0</v>
      </c>
      <c r="H161" s="101">
        <v>0</v>
      </c>
      <c r="I161" s="101">
        <v>23</v>
      </c>
      <c r="J161" s="101">
        <v>0</v>
      </c>
      <c r="K161" s="101">
        <v>24</v>
      </c>
      <c r="L161" s="101">
        <v>0</v>
      </c>
      <c r="M161" s="101">
        <v>78</v>
      </c>
      <c r="N161" s="101">
        <v>0</v>
      </c>
      <c r="O161" s="101">
        <v>0</v>
      </c>
    </row>
    <row r="162" spans="1:15" x14ac:dyDescent="0.25">
      <c r="A162" s="102">
        <v>41796</v>
      </c>
      <c r="B162" s="101">
        <v>42</v>
      </c>
      <c r="C162" s="101">
        <v>73</v>
      </c>
      <c r="D162" s="101">
        <v>13</v>
      </c>
      <c r="E162" s="101">
        <v>24</v>
      </c>
      <c r="F162" s="101">
        <v>0</v>
      </c>
      <c r="G162" s="101">
        <v>0</v>
      </c>
      <c r="H162" s="101">
        <v>0</v>
      </c>
      <c r="I162" s="101">
        <v>56</v>
      </c>
      <c r="J162" s="101">
        <v>0</v>
      </c>
      <c r="K162" s="101">
        <v>60</v>
      </c>
      <c r="L162" s="101">
        <v>0</v>
      </c>
      <c r="M162" s="101">
        <v>177</v>
      </c>
      <c r="N162" s="101">
        <v>0</v>
      </c>
      <c r="O162" s="101">
        <v>0</v>
      </c>
    </row>
    <row r="163" spans="1:15" x14ac:dyDescent="0.25">
      <c r="A163" s="102">
        <v>41797</v>
      </c>
      <c r="B163" s="101">
        <v>77</v>
      </c>
      <c r="C163" s="101">
        <v>51</v>
      </c>
      <c r="D163" s="101">
        <v>7</v>
      </c>
      <c r="E163" s="101">
        <v>12</v>
      </c>
      <c r="F163" s="101">
        <v>0</v>
      </c>
      <c r="G163" s="101">
        <v>0</v>
      </c>
      <c r="H163" s="101">
        <v>0</v>
      </c>
      <c r="I163" s="101">
        <v>28</v>
      </c>
      <c r="J163" s="101">
        <v>0</v>
      </c>
      <c r="K163" s="101">
        <v>28</v>
      </c>
      <c r="L163" s="101">
        <v>0</v>
      </c>
      <c r="M163" s="101">
        <v>84</v>
      </c>
      <c r="N163" s="101">
        <v>0</v>
      </c>
      <c r="O163" s="101">
        <v>0</v>
      </c>
    </row>
    <row r="164" spans="1:15" x14ac:dyDescent="0.25">
      <c r="A164" s="102">
        <v>41798</v>
      </c>
      <c r="B164" s="101">
        <v>47</v>
      </c>
      <c r="C164" s="101">
        <v>42</v>
      </c>
      <c r="D164" s="101">
        <v>2</v>
      </c>
      <c r="E164" s="101">
        <v>7</v>
      </c>
      <c r="F164" s="101">
        <v>0</v>
      </c>
      <c r="G164" s="101">
        <v>0</v>
      </c>
      <c r="H164" s="101">
        <v>0</v>
      </c>
      <c r="I164" s="101">
        <v>36</v>
      </c>
      <c r="J164" s="101">
        <v>0</v>
      </c>
      <c r="K164" s="101">
        <v>37</v>
      </c>
      <c r="L164" s="101">
        <v>0</v>
      </c>
      <c r="M164" s="101">
        <v>106</v>
      </c>
      <c r="N164" s="101">
        <v>0</v>
      </c>
      <c r="O164" s="101">
        <v>0</v>
      </c>
    </row>
    <row r="165" spans="1:15" x14ac:dyDescent="0.25">
      <c r="A165" s="102">
        <v>41799</v>
      </c>
      <c r="B165" s="101">
        <v>64</v>
      </c>
      <c r="C165" s="101">
        <v>66</v>
      </c>
      <c r="D165" s="101">
        <v>1</v>
      </c>
      <c r="E165" s="101">
        <v>8</v>
      </c>
      <c r="F165" s="101">
        <v>0</v>
      </c>
      <c r="G165" s="101">
        <v>0</v>
      </c>
      <c r="H165" s="101">
        <v>0</v>
      </c>
      <c r="I165" s="101">
        <v>31</v>
      </c>
      <c r="J165" s="101">
        <v>0</v>
      </c>
      <c r="K165" s="101">
        <v>32</v>
      </c>
      <c r="L165" s="101">
        <v>0</v>
      </c>
      <c r="M165" s="101">
        <v>103</v>
      </c>
      <c r="N165" s="101">
        <v>0</v>
      </c>
      <c r="O165" s="101">
        <v>0</v>
      </c>
    </row>
    <row r="166" spans="1:15" x14ac:dyDescent="0.25">
      <c r="A166" s="102">
        <v>41800</v>
      </c>
      <c r="B166" s="101">
        <v>66</v>
      </c>
      <c r="C166" s="101">
        <v>83</v>
      </c>
      <c r="D166" s="101">
        <v>2</v>
      </c>
      <c r="E166" s="101">
        <v>4</v>
      </c>
      <c r="F166" s="101">
        <v>0</v>
      </c>
      <c r="G166" s="101">
        <v>0</v>
      </c>
      <c r="H166" s="101">
        <v>0</v>
      </c>
      <c r="I166" s="101">
        <v>17</v>
      </c>
      <c r="J166" s="101">
        <v>0</v>
      </c>
      <c r="K166" s="101">
        <v>17</v>
      </c>
      <c r="L166" s="101">
        <v>0</v>
      </c>
      <c r="M166" s="101">
        <v>54</v>
      </c>
      <c r="N166" s="101">
        <v>0</v>
      </c>
      <c r="O166" s="101">
        <v>0</v>
      </c>
    </row>
    <row r="167" spans="1:15" x14ac:dyDescent="0.25">
      <c r="A167" s="102">
        <v>41801</v>
      </c>
      <c r="B167" s="101">
        <v>62</v>
      </c>
      <c r="C167" s="101">
        <v>71</v>
      </c>
      <c r="D167" s="101">
        <v>2</v>
      </c>
      <c r="E167" s="101">
        <v>7</v>
      </c>
      <c r="F167" s="101">
        <v>0</v>
      </c>
      <c r="G167" s="101">
        <v>0</v>
      </c>
      <c r="H167" s="101">
        <v>0</v>
      </c>
      <c r="I167" s="101">
        <v>24</v>
      </c>
      <c r="J167" s="101">
        <v>0</v>
      </c>
      <c r="K167" s="101">
        <v>26</v>
      </c>
      <c r="L167" s="101">
        <v>0</v>
      </c>
      <c r="M167" s="101">
        <v>84</v>
      </c>
      <c r="N167" s="101">
        <v>0</v>
      </c>
      <c r="O167" s="101">
        <v>0</v>
      </c>
    </row>
    <row r="168" spans="1:15" x14ac:dyDescent="0.25">
      <c r="A168" s="102">
        <v>41802</v>
      </c>
      <c r="B168" s="101">
        <v>23</v>
      </c>
      <c r="C168" s="101">
        <v>32</v>
      </c>
      <c r="D168" s="101">
        <v>6</v>
      </c>
      <c r="E168" s="101">
        <v>13</v>
      </c>
      <c r="F168" s="101">
        <v>0</v>
      </c>
      <c r="G168" s="101">
        <v>0</v>
      </c>
      <c r="H168" s="101">
        <v>0</v>
      </c>
      <c r="I168" s="101">
        <v>35</v>
      </c>
      <c r="J168" s="101">
        <v>0</v>
      </c>
      <c r="K168" s="101">
        <v>35</v>
      </c>
      <c r="L168" s="101">
        <v>0</v>
      </c>
      <c r="M168" s="101">
        <v>110</v>
      </c>
      <c r="N168" s="101">
        <v>0</v>
      </c>
      <c r="O168" s="101">
        <v>0</v>
      </c>
    </row>
    <row r="169" spans="1:15" x14ac:dyDescent="0.25">
      <c r="A169" s="102">
        <v>41803</v>
      </c>
      <c r="B169" s="101">
        <v>34</v>
      </c>
      <c r="C169" s="101">
        <v>50</v>
      </c>
      <c r="D169" s="101">
        <v>5</v>
      </c>
      <c r="E169" s="101">
        <v>20</v>
      </c>
      <c r="F169" s="101">
        <v>0</v>
      </c>
      <c r="G169" s="101">
        <v>0</v>
      </c>
      <c r="H169" s="101">
        <v>0</v>
      </c>
      <c r="I169" s="101">
        <v>45</v>
      </c>
      <c r="J169" s="101">
        <v>0</v>
      </c>
      <c r="K169" s="101">
        <v>47</v>
      </c>
      <c r="L169" s="101">
        <v>0</v>
      </c>
      <c r="M169" s="101">
        <v>135</v>
      </c>
      <c r="N169" s="101">
        <v>0</v>
      </c>
      <c r="O169" s="101">
        <v>0</v>
      </c>
    </row>
    <row r="170" spans="1:15" x14ac:dyDescent="0.25">
      <c r="A170" s="102">
        <v>41804</v>
      </c>
      <c r="B170" s="101">
        <v>30</v>
      </c>
      <c r="C170" s="101">
        <v>45</v>
      </c>
      <c r="D170" s="101">
        <v>3</v>
      </c>
      <c r="E170" s="101">
        <v>7</v>
      </c>
      <c r="F170" s="101">
        <v>0</v>
      </c>
      <c r="G170" s="101">
        <v>0</v>
      </c>
      <c r="H170" s="101">
        <v>0</v>
      </c>
      <c r="I170" s="101">
        <v>21</v>
      </c>
      <c r="J170" s="101">
        <v>0</v>
      </c>
      <c r="K170" s="101">
        <v>21</v>
      </c>
      <c r="L170" s="101">
        <v>0</v>
      </c>
      <c r="M170" s="101">
        <v>63</v>
      </c>
      <c r="N170" s="101">
        <v>0</v>
      </c>
      <c r="O170" s="101">
        <v>0</v>
      </c>
    </row>
    <row r="171" spans="1:15" x14ac:dyDescent="0.25">
      <c r="A171" s="102">
        <v>41805</v>
      </c>
      <c r="B171" s="101">
        <v>46</v>
      </c>
      <c r="C171" s="101">
        <v>48</v>
      </c>
      <c r="D171" s="101">
        <v>3</v>
      </c>
      <c r="E171" s="101">
        <v>11</v>
      </c>
      <c r="F171" s="101">
        <v>0</v>
      </c>
      <c r="G171" s="101">
        <v>0</v>
      </c>
      <c r="H171" s="101">
        <v>0</v>
      </c>
      <c r="I171" s="101">
        <v>36</v>
      </c>
      <c r="J171" s="101">
        <v>0</v>
      </c>
      <c r="K171" s="101">
        <v>37</v>
      </c>
      <c r="L171" s="101">
        <v>0</v>
      </c>
      <c r="M171" s="101">
        <v>90</v>
      </c>
      <c r="N171" s="101">
        <v>0</v>
      </c>
      <c r="O171" s="101">
        <v>0</v>
      </c>
    </row>
    <row r="172" spans="1:15" x14ac:dyDescent="0.25">
      <c r="A172" s="102">
        <v>41806</v>
      </c>
      <c r="B172" s="101">
        <v>70</v>
      </c>
      <c r="C172" s="101">
        <v>70</v>
      </c>
      <c r="D172" s="101">
        <v>1</v>
      </c>
      <c r="E172" s="101">
        <v>17</v>
      </c>
      <c r="F172" s="101">
        <v>0</v>
      </c>
      <c r="G172" s="101">
        <v>0</v>
      </c>
      <c r="H172" s="101">
        <v>0</v>
      </c>
      <c r="I172" s="101">
        <v>38</v>
      </c>
      <c r="J172" s="101">
        <v>0</v>
      </c>
      <c r="K172" s="101">
        <v>41</v>
      </c>
      <c r="L172" s="101">
        <v>0</v>
      </c>
      <c r="M172" s="101">
        <v>126</v>
      </c>
      <c r="N172" s="101">
        <v>0</v>
      </c>
      <c r="O172" s="101">
        <v>0</v>
      </c>
    </row>
    <row r="173" spans="1:15" x14ac:dyDescent="0.25">
      <c r="A173" s="102">
        <v>41807</v>
      </c>
      <c r="B173" s="101">
        <v>83</v>
      </c>
      <c r="C173" s="101">
        <v>73</v>
      </c>
      <c r="D173" s="101">
        <v>1</v>
      </c>
      <c r="E173" s="101">
        <v>8</v>
      </c>
      <c r="F173" s="101">
        <v>0</v>
      </c>
      <c r="G173" s="101">
        <v>0</v>
      </c>
      <c r="H173" s="101">
        <v>0</v>
      </c>
      <c r="I173" s="101">
        <v>28</v>
      </c>
      <c r="J173" s="101">
        <v>0</v>
      </c>
      <c r="K173" s="101">
        <v>30</v>
      </c>
      <c r="L173" s="101">
        <v>0</v>
      </c>
      <c r="M173" s="101">
        <v>93</v>
      </c>
      <c r="N173" s="101">
        <v>0</v>
      </c>
      <c r="O173" s="101">
        <v>0</v>
      </c>
    </row>
    <row r="174" spans="1:15" x14ac:dyDescent="0.25">
      <c r="A174" s="102">
        <v>41808</v>
      </c>
      <c r="B174" s="101">
        <v>56</v>
      </c>
      <c r="C174" s="101">
        <v>66</v>
      </c>
      <c r="D174" s="101">
        <v>12</v>
      </c>
      <c r="E174" s="101">
        <v>18</v>
      </c>
      <c r="F174" s="101">
        <v>0</v>
      </c>
      <c r="G174" s="101">
        <v>0</v>
      </c>
      <c r="H174" s="101">
        <v>0</v>
      </c>
      <c r="I174" s="101">
        <v>47</v>
      </c>
      <c r="J174" s="101">
        <v>0</v>
      </c>
      <c r="K174" s="101">
        <v>51</v>
      </c>
      <c r="L174" s="101">
        <v>0</v>
      </c>
      <c r="M174" s="101">
        <v>141</v>
      </c>
      <c r="N174" s="101">
        <v>0</v>
      </c>
      <c r="O174" s="101">
        <v>0</v>
      </c>
    </row>
    <row r="175" spans="1:15" x14ac:dyDescent="0.25">
      <c r="A175" s="102">
        <v>41809</v>
      </c>
      <c r="B175" s="101">
        <v>31</v>
      </c>
      <c r="C175" s="101">
        <v>25</v>
      </c>
      <c r="D175" s="101">
        <v>4</v>
      </c>
      <c r="E175" s="101">
        <v>23</v>
      </c>
      <c r="F175" s="101">
        <v>0</v>
      </c>
      <c r="G175" s="101">
        <v>0</v>
      </c>
      <c r="H175" s="101">
        <v>0</v>
      </c>
      <c r="I175" s="101">
        <v>48</v>
      </c>
      <c r="J175" s="101">
        <v>0</v>
      </c>
      <c r="K175" s="101">
        <v>54</v>
      </c>
      <c r="L175" s="101">
        <v>0</v>
      </c>
      <c r="M175" s="101">
        <v>155</v>
      </c>
      <c r="N175" s="101">
        <v>0</v>
      </c>
      <c r="O175" s="101">
        <v>0</v>
      </c>
    </row>
    <row r="176" spans="1:15" x14ac:dyDescent="0.25">
      <c r="A176" s="102">
        <v>41810</v>
      </c>
      <c r="B176" s="101">
        <v>45</v>
      </c>
      <c r="C176" s="101">
        <v>57</v>
      </c>
      <c r="D176" s="101">
        <v>2</v>
      </c>
      <c r="E176" s="101">
        <v>10</v>
      </c>
      <c r="F176" s="101">
        <v>0</v>
      </c>
      <c r="G176" s="101">
        <v>0</v>
      </c>
      <c r="H176" s="101">
        <v>0</v>
      </c>
      <c r="I176" s="101">
        <v>31</v>
      </c>
      <c r="J176" s="101">
        <v>0</v>
      </c>
      <c r="K176" s="101">
        <v>33</v>
      </c>
      <c r="L176" s="101">
        <v>0</v>
      </c>
      <c r="M176" s="101">
        <v>98</v>
      </c>
      <c r="N176" s="101">
        <v>0</v>
      </c>
      <c r="O176" s="101">
        <v>0</v>
      </c>
    </row>
    <row r="177" spans="1:15" x14ac:dyDescent="0.25">
      <c r="A177" s="102">
        <v>41811</v>
      </c>
      <c r="B177" s="101">
        <v>34</v>
      </c>
      <c r="C177" s="101">
        <v>40</v>
      </c>
      <c r="D177" s="101">
        <v>3</v>
      </c>
      <c r="E177" s="101">
        <v>8</v>
      </c>
      <c r="F177" s="101">
        <v>0</v>
      </c>
      <c r="G177" s="101">
        <v>0</v>
      </c>
      <c r="H177" s="101">
        <v>0</v>
      </c>
      <c r="I177" s="101">
        <v>18</v>
      </c>
      <c r="J177" s="101">
        <v>0</v>
      </c>
      <c r="K177" s="101">
        <v>18</v>
      </c>
      <c r="L177" s="101">
        <v>0</v>
      </c>
      <c r="M177" s="101">
        <v>57</v>
      </c>
      <c r="N177" s="101">
        <v>0</v>
      </c>
      <c r="O177" s="101">
        <v>0</v>
      </c>
    </row>
    <row r="178" spans="1:15" x14ac:dyDescent="0.25">
      <c r="A178" s="102">
        <v>41812</v>
      </c>
      <c r="B178" s="101">
        <v>35</v>
      </c>
      <c r="C178" s="101">
        <v>41</v>
      </c>
      <c r="D178" s="101">
        <v>3</v>
      </c>
      <c r="E178" s="101">
        <v>11</v>
      </c>
      <c r="F178" s="101">
        <v>0</v>
      </c>
      <c r="G178" s="101">
        <v>0</v>
      </c>
      <c r="H178" s="101">
        <v>0</v>
      </c>
      <c r="I178" s="101">
        <v>48</v>
      </c>
      <c r="J178" s="101">
        <v>0</v>
      </c>
      <c r="K178" s="101">
        <v>51</v>
      </c>
      <c r="L178" s="101">
        <v>0</v>
      </c>
      <c r="M178" s="101">
        <v>138</v>
      </c>
      <c r="N178" s="101">
        <v>0</v>
      </c>
      <c r="O178" s="101">
        <v>0</v>
      </c>
    </row>
    <row r="179" spans="1:15" x14ac:dyDescent="0.25">
      <c r="A179" s="102">
        <v>41813</v>
      </c>
      <c r="B179" s="101">
        <v>27</v>
      </c>
      <c r="C179" s="101">
        <v>28</v>
      </c>
      <c r="D179" s="101">
        <v>4</v>
      </c>
      <c r="E179" s="101">
        <v>15</v>
      </c>
      <c r="F179" s="101">
        <v>0</v>
      </c>
      <c r="G179" s="101">
        <v>0</v>
      </c>
      <c r="H179" s="101">
        <v>0</v>
      </c>
      <c r="I179" s="101">
        <v>49</v>
      </c>
      <c r="J179" s="101">
        <v>0</v>
      </c>
      <c r="K179" s="101">
        <v>50</v>
      </c>
      <c r="L179" s="101">
        <v>0</v>
      </c>
      <c r="M179" s="101">
        <v>143</v>
      </c>
      <c r="N179" s="101">
        <v>0</v>
      </c>
      <c r="O179" s="101">
        <v>0</v>
      </c>
    </row>
    <row r="180" spans="1:15" x14ac:dyDescent="0.25">
      <c r="A180" s="102">
        <v>41814</v>
      </c>
      <c r="B180" s="101">
        <v>21</v>
      </c>
      <c r="C180" s="101">
        <v>27</v>
      </c>
      <c r="D180" s="101">
        <v>4</v>
      </c>
      <c r="E180" s="101">
        <v>9</v>
      </c>
      <c r="F180" s="101">
        <v>0</v>
      </c>
      <c r="G180" s="101">
        <v>0</v>
      </c>
      <c r="H180" s="101">
        <v>0</v>
      </c>
      <c r="I180" s="101">
        <v>35</v>
      </c>
      <c r="J180" s="101">
        <v>0</v>
      </c>
      <c r="K180" s="101">
        <v>40</v>
      </c>
      <c r="L180" s="101">
        <v>0</v>
      </c>
      <c r="M180" s="101">
        <v>117</v>
      </c>
      <c r="N180" s="101">
        <v>0</v>
      </c>
      <c r="O180" s="101">
        <v>0</v>
      </c>
    </row>
    <row r="181" spans="1:15" x14ac:dyDescent="0.25">
      <c r="A181" s="102">
        <v>41815</v>
      </c>
      <c r="B181" s="101">
        <v>44</v>
      </c>
      <c r="C181" s="101">
        <v>42</v>
      </c>
      <c r="D181" s="101">
        <v>2</v>
      </c>
      <c r="E181" s="101">
        <v>5</v>
      </c>
      <c r="F181" s="101">
        <v>1</v>
      </c>
      <c r="G181" s="101">
        <v>0</v>
      </c>
      <c r="H181" s="101">
        <v>0</v>
      </c>
      <c r="I181" s="101">
        <v>32</v>
      </c>
      <c r="J181" s="101">
        <v>1</v>
      </c>
      <c r="K181" s="101">
        <v>38</v>
      </c>
      <c r="L181" s="101">
        <v>1</v>
      </c>
      <c r="M181" s="101">
        <v>111</v>
      </c>
      <c r="N181" s="101">
        <v>1</v>
      </c>
      <c r="O181" s="101">
        <v>0</v>
      </c>
    </row>
    <row r="182" spans="1:15" x14ac:dyDescent="0.25">
      <c r="A182" s="102">
        <v>41816</v>
      </c>
      <c r="B182" s="101">
        <v>28</v>
      </c>
      <c r="C182" s="101">
        <v>45</v>
      </c>
      <c r="D182" s="101">
        <v>1</v>
      </c>
      <c r="E182" s="101">
        <v>6</v>
      </c>
      <c r="F182" s="101">
        <v>2</v>
      </c>
      <c r="G182" s="101">
        <v>1</v>
      </c>
      <c r="H182" s="101">
        <v>0</v>
      </c>
      <c r="I182" s="101">
        <v>34</v>
      </c>
      <c r="J182" s="101">
        <v>3</v>
      </c>
      <c r="K182" s="101">
        <v>39</v>
      </c>
      <c r="L182" s="101">
        <v>3</v>
      </c>
      <c r="M182" s="101">
        <v>112</v>
      </c>
      <c r="N182" s="101">
        <v>3</v>
      </c>
      <c r="O182" s="101">
        <v>0</v>
      </c>
    </row>
    <row r="183" spans="1:15" x14ac:dyDescent="0.25">
      <c r="A183" s="102">
        <v>41817</v>
      </c>
      <c r="B183" s="101">
        <v>35</v>
      </c>
      <c r="C183" s="101">
        <v>31</v>
      </c>
      <c r="D183" s="101">
        <v>9</v>
      </c>
      <c r="E183" s="101">
        <v>20</v>
      </c>
      <c r="F183" s="101">
        <v>4</v>
      </c>
      <c r="G183" s="101">
        <v>6</v>
      </c>
      <c r="H183" s="101">
        <v>0</v>
      </c>
      <c r="I183" s="101">
        <v>61</v>
      </c>
      <c r="J183" s="101">
        <v>7</v>
      </c>
      <c r="K183" s="101">
        <v>70</v>
      </c>
      <c r="L183" s="101">
        <v>7</v>
      </c>
      <c r="M183" s="101">
        <v>203</v>
      </c>
      <c r="N183" s="101">
        <v>10</v>
      </c>
      <c r="O183" s="101">
        <v>0</v>
      </c>
    </row>
    <row r="184" spans="1:15" x14ac:dyDescent="0.25">
      <c r="A184" s="102">
        <v>41818</v>
      </c>
      <c r="B184" s="101">
        <v>18</v>
      </c>
      <c r="C184" s="101">
        <v>25</v>
      </c>
      <c r="D184" s="101">
        <v>1</v>
      </c>
      <c r="E184" s="101">
        <v>4</v>
      </c>
      <c r="F184" s="101">
        <v>3</v>
      </c>
      <c r="G184" s="101">
        <v>2</v>
      </c>
      <c r="H184" s="101">
        <v>0</v>
      </c>
      <c r="I184" s="101">
        <v>22</v>
      </c>
      <c r="J184" s="101">
        <v>3</v>
      </c>
      <c r="K184" s="101">
        <v>22</v>
      </c>
      <c r="L184" s="101">
        <v>3</v>
      </c>
      <c r="M184" s="101">
        <v>71</v>
      </c>
      <c r="N184" s="101">
        <v>8</v>
      </c>
      <c r="O184" s="101">
        <v>0</v>
      </c>
    </row>
    <row r="185" spans="1:15" x14ac:dyDescent="0.25">
      <c r="A185" s="102">
        <v>41819</v>
      </c>
      <c r="B185" s="101">
        <v>18</v>
      </c>
      <c r="C185" s="101">
        <v>27</v>
      </c>
      <c r="D185" s="101">
        <v>0</v>
      </c>
      <c r="E185" s="101">
        <v>4</v>
      </c>
      <c r="F185" s="101">
        <v>6</v>
      </c>
      <c r="G185" s="101">
        <v>10</v>
      </c>
      <c r="H185" s="101">
        <v>0</v>
      </c>
      <c r="I185" s="101">
        <v>36</v>
      </c>
      <c r="J185" s="101">
        <v>10</v>
      </c>
      <c r="K185" s="101">
        <v>37</v>
      </c>
      <c r="L185" s="101">
        <v>10</v>
      </c>
      <c r="M185" s="101">
        <v>103</v>
      </c>
      <c r="N185" s="101">
        <v>19</v>
      </c>
      <c r="O185" s="101">
        <v>0</v>
      </c>
    </row>
    <row r="186" spans="1:15" x14ac:dyDescent="0.25">
      <c r="A186" s="102">
        <v>41820</v>
      </c>
      <c r="B186" s="101">
        <v>19</v>
      </c>
      <c r="C186" s="101">
        <v>28</v>
      </c>
      <c r="D186" s="101">
        <v>1</v>
      </c>
      <c r="E186" s="101">
        <v>6</v>
      </c>
      <c r="F186" s="101">
        <v>3</v>
      </c>
      <c r="G186" s="101">
        <v>2</v>
      </c>
      <c r="H186" s="101">
        <v>0</v>
      </c>
      <c r="I186" s="101">
        <v>40</v>
      </c>
      <c r="J186" s="101">
        <v>4</v>
      </c>
      <c r="K186" s="101">
        <v>46</v>
      </c>
      <c r="L186" s="101">
        <v>5</v>
      </c>
      <c r="M186" s="101">
        <v>137</v>
      </c>
      <c r="N186" s="101">
        <v>7</v>
      </c>
      <c r="O186" s="101">
        <v>0</v>
      </c>
    </row>
    <row r="187" spans="1:15" x14ac:dyDescent="0.25">
      <c r="B187" s="101">
        <v>0</v>
      </c>
      <c r="C187" s="101">
        <v>0</v>
      </c>
      <c r="D187" s="101">
        <v>0</v>
      </c>
      <c r="E187" s="101">
        <v>0</v>
      </c>
      <c r="F187" s="101">
        <v>0</v>
      </c>
      <c r="G187" s="101">
        <v>0</v>
      </c>
      <c r="H187" s="101">
        <v>0</v>
      </c>
      <c r="I187" s="101">
        <v>0</v>
      </c>
      <c r="J187" s="101">
        <v>0</v>
      </c>
      <c r="K187" s="101">
        <v>0</v>
      </c>
      <c r="L187" s="101">
        <v>0</v>
      </c>
      <c r="M187" s="101">
        <v>0</v>
      </c>
      <c r="N187" s="101">
        <v>0</v>
      </c>
      <c r="O187" s="101">
        <v>0</v>
      </c>
    </row>
    <row r="188" spans="1:15" x14ac:dyDescent="0.25">
      <c r="A188" s="102">
        <v>41821</v>
      </c>
      <c r="B188" s="101">
        <v>27</v>
      </c>
      <c r="C188" s="101">
        <v>32</v>
      </c>
      <c r="D188" s="101">
        <v>3</v>
      </c>
      <c r="E188" s="101">
        <v>5</v>
      </c>
      <c r="F188" s="101">
        <v>2</v>
      </c>
      <c r="G188" s="101">
        <v>2</v>
      </c>
      <c r="H188" s="101">
        <v>0</v>
      </c>
      <c r="I188" s="101">
        <v>26</v>
      </c>
      <c r="J188" s="101">
        <v>2</v>
      </c>
      <c r="K188" s="101">
        <v>30</v>
      </c>
      <c r="L188" s="101">
        <v>2</v>
      </c>
      <c r="M188" s="101">
        <v>85</v>
      </c>
      <c r="N188" s="101">
        <v>4</v>
      </c>
      <c r="O188" s="101">
        <v>0</v>
      </c>
    </row>
    <row r="189" spans="1:15" x14ac:dyDescent="0.25">
      <c r="A189" s="102">
        <v>41822</v>
      </c>
      <c r="B189" s="101">
        <v>27</v>
      </c>
      <c r="C189" s="101">
        <v>34</v>
      </c>
      <c r="D189" s="101">
        <v>4</v>
      </c>
      <c r="E189" s="101">
        <v>1</v>
      </c>
      <c r="F189" s="101">
        <v>0</v>
      </c>
      <c r="G189" s="101">
        <v>0</v>
      </c>
      <c r="H189" s="101">
        <v>0</v>
      </c>
      <c r="I189" s="101">
        <v>22</v>
      </c>
      <c r="J189" s="101">
        <v>0</v>
      </c>
      <c r="K189" s="101">
        <v>28</v>
      </c>
      <c r="L189" s="101">
        <v>0</v>
      </c>
      <c r="M189" s="101">
        <v>81</v>
      </c>
      <c r="N189" s="101">
        <v>0</v>
      </c>
      <c r="O189" s="101">
        <v>0</v>
      </c>
    </row>
    <row r="190" spans="1:15" x14ac:dyDescent="0.25">
      <c r="A190" s="102">
        <v>41823</v>
      </c>
      <c r="B190" s="101">
        <v>38</v>
      </c>
      <c r="C190" s="101">
        <v>34</v>
      </c>
      <c r="D190" s="101">
        <v>4</v>
      </c>
      <c r="E190" s="101">
        <v>6</v>
      </c>
      <c r="F190" s="101">
        <v>3</v>
      </c>
      <c r="G190" s="101">
        <v>5</v>
      </c>
      <c r="H190" s="101">
        <v>0</v>
      </c>
      <c r="I190" s="101">
        <v>24</v>
      </c>
      <c r="J190" s="101">
        <v>4</v>
      </c>
      <c r="K190" s="101">
        <v>33</v>
      </c>
      <c r="L190" s="101">
        <v>3</v>
      </c>
      <c r="M190" s="101">
        <v>106</v>
      </c>
      <c r="N190" s="101">
        <v>9</v>
      </c>
      <c r="O190" s="101">
        <v>0</v>
      </c>
    </row>
    <row r="191" spans="1:15" x14ac:dyDescent="0.25">
      <c r="A191" s="102">
        <v>41824</v>
      </c>
      <c r="B191" s="101">
        <v>16</v>
      </c>
      <c r="C191" s="101">
        <v>29</v>
      </c>
      <c r="D191" s="101">
        <v>5</v>
      </c>
      <c r="E191" s="101">
        <v>13</v>
      </c>
      <c r="F191" s="101">
        <v>8</v>
      </c>
      <c r="G191" s="101">
        <v>4</v>
      </c>
      <c r="H191" s="101">
        <v>0</v>
      </c>
      <c r="I191" s="101">
        <v>45</v>
      </c>
      <c r="J191" s="101">
        <v>9</v>
      </c>
      <c r="K191" s="101">
        <v>53</v>
      </c>
      <c r="L191" s="101">
        <v>9</v>
      </c>
      <c r="M191" s="101">
        <v>151</v>
      </c>
      <c r="N191" s="101">
        <v>18</v>
      </c>
      <c r="O191" s="101">
        <v>0</v>
      </c>
    </row>
    <row r="192" spans="1:15" x14ac:dyDescent="0.25">
      <c r="A192" s="102">
        <v>41825</v>
      </c>
      <c r="B192" s="101">
        <v>16</v>
      </c>
      <c r="C192" s="101">
        <v>21</v>
      </c>
      <c r="D192" s="101">
        <v>4</v>
      </c>
      <c r="E192" s="101">
        <v>5</v>
      </c>
      <c r="F192" s="101">
        <v>0</v>
      </c>
      <c r="G192" s="101">
        <v>0</v>
      </c>
      <c r="H192" s="101">
        <v>0</v>
      </c>
      <c r="I192" s="101">
        <v>22</v>
      </c>
      <c r="J192" s="101">
        <v>0</v>
      </c>
      <c r="K192" s="101">
        <v>22</v>
      </c>
      <c r="L192" s="101">
        <v>0</v>
      </c>
      <c r="M192" s="101">
        <v>71</v>
      </c>
      <c r="N192" s="101">
        <v>0</v>
      </c>
      <c r="O192" s="101">
        <v>0</v>
      </c>
    </row>
    <row r="193" spans="1:15" x14ac:dyDescent="0.25">
      <c r="A193" s="102">
        <v>41826</v>
      </c>
      <c r="B193" s="101">
        <v>13</v>
      </c>
      <c r="C193" s="101">
        <v>16</v>
      </c>
      <c r="D193" s="101">
        <v>2</v>
      </c>
      <c r="E193" s="101">
        <v>8</v>
      </c>
      <c r="F193" s="101">
        <v>3</v>
      </c>
      <c r="G193" s="101">
        <v>7</v>
      </c>
      <c r="H193" s="101">
        <v>0</v>
      </c>
      <c r="I193" s="101">
        <v>30</v>
      </c>
      <c r="J193" s="101">
        <v>5</v>
      </c>
      <c r="K193" s="101">
        <v>31</v>
      </c>
      <c r="L193" s="101">
        <v>5</v>
      </c>
      <c r="M193" s="101">
        <v>83</v>
      </c>
      <c r="N193" s="101">
        <v>13</v>
      </c>
      <c r="O193" s="101">
        <v>0</v>
      </c>
    </row>
    <row r="194" spans="1:15" x14ac:dyDescent="0.25">
      <c r="A194" s="102">
        <v>41827</v>
      </c>
      <c r="B194" s="101">
        <v>31</v>
      </c>
      <c r="C194" s="101">
        <v>39</v>
      </c>
      <c r="D194" s="101">
        <v>1</v>
      </c>
      <c r="E194" s="101">
        <v>1</v>
      </c>
      <c r="F194" s="101">
        <v>0</v>
      </c>
      <c r="G194" s="101">
        <v>0</v>
      </c>
      <c r="H194" s="101">
        <v>0</v>
      </c>
      <c r="I194" s="101">
        <v>33</v>
      </c>
      <c r="J194" s="101">
        <v>0</v>
      </c>
      <c r="K194" s="101">
        <v>41</v>
      </c>
      <c r="L194" s="101">
        <v>0</v>
      </c>
      <c r="M194" s="101">
        <v>123</v>
      </c>
      <c r="N194" s="101">
        <v>0</v>
      </c>
      <c r="O194" s="101">
        <v>0</v>
      </c>
    </row>
    <row r="195" spans="1:15" x14ac:dyDescent="0.25">
      <c r="A195" s="102">
        <v>41828</v>
      </c>
      <c r="B195" s="101">
        <v>35</v>
      </c>
      <c r="C195" s="101">
        <v>30</v>
      </c>
      <c r="D195" s="101">
        <v>1</v>
      </c>
      <c r="E195" s="101">
        <v>7</v>
      </c>
      <c r="F195" s="101">
        <v>0</v>
      </c>
      <c r="G195" s="101">
        <v>1</v>
      </c>
      <c r="H195" s="101">
        <v>0</v>
      </c>
      <c r="I195" s="101">
        <v>29</v>
      </c>
      <c r="J195" s="101">
        <v>2</v>
      </c>
      <c r="K195" s="101">
        <v>31</v>
      </c>
      <c r="L195" s="101">
        <v>2</v>
      </c>
      <c r="M195" s="101">
        <v>92</v>
      </c>
      <c r="N195" s="101">
        <v>3</v>
      </c>
      <c r="O195" s="101">
        <v>0</v>
      </c>
    </row>
    <row r="196" spans="1:15" x14ac:dyDescent="0.25">
      <c r="A196" s="102">
        <v>41829</v>
      </c>
      <c r="B196" s="101">
        <v>20</v>
      </c>
      <c r="C196" s="101">
        <v>17</v>
      </c>
      <c r="D196" s="101">
        <v>3</v>
      </c>
      <c r="E196" s="101">
        <v>4</v>
      </c>
      <c r="F196" s="101">
        <v>3</v>
      </c>
      <c r="G196" s="101">
        <v>2</v>
      </c>
      <c r="H196" s="101">
        <v>0</v>
      </c>
      <c r="I196" s="101">
        <v>29</v>
      </c>
      <c r="J196" s="101">
        <v>3</v>
      </c>
      <c r="K196" s="101">
        <v>35</v>
      </c>
      <c r="L196" s="101">
        <v>3</v>
      </c>
      <c r="M196" s="101">
        <v>105</v>
      </c>
      <c r="N196" s="101">
        <v>6</v>
      </c>
      <c r="O196" s="101">
        <v>0</v>
      </c>
    </row>
    <row r="197" spans="1:15" x14ac:dyDescent="0.25">
      <c r="A197" s="102">
        <v>41830</v>
      </c>
      <c r="B197" s="101">
        <v>47</v>
      </c>
      <c r="C197" s="101">
        <v>45</v>
      </c>
      <c r="D197" s="101">
        <v>1</v>
      </c>
      <c r="E197" s="101">
        <v>8</v>
      </c>
      <c r="F197" s="101">
        <v>1</v>
      </c>
      <c r="G197" s="101">
        <v>1</v>
      </c>
      <c r="H197" s="101">
        <v>0</v>
      </c>
      <c r="I197" s="101">
        <v>27</v>
      </c>
      <c r="J197" s="101">
        <v>2</v>
      </c>
      <c r="K197" s="101">
        <v>34</v>
      </c>
      <c r="L197" s="101">
        <v>2</v>
      </c>
      <c r="M197" s="101">
        <v>100</v>
      </c>
      <c r="N197" s="101">
        <v>2</v>
      </c>
      <c r="O197" s="101">
        <v>0</v>
      </c>
    </row>
    <row r="198" spans="1:15" x14ac:dyDescent="0.25">
      <c r="A198" s="102">
        <v>41831</v>
      </c>
      <c r="B198" s="101">
        <v>27</v>
      </c>
      <c r="C198" s="101">
        <v>33</v>
      </c>
      <c r="D198" s="101">
        <v>8</v>
      </c>
      <c r="E198" s="101">
        <v>12</v>
      </c>
      <c r="F198" s="101">
        <v>5</v>
      </c>
      <c r="G198" s="101">
        <v>5</v>
      </c>
      <c r="H198" s="101">
        <v>0</v>
      </c>
      <c r="I198" s="101">
        <v>48</v>
      </c>
      <c r="J198" s="101">
        <v>8</v>
      </c>
      <c r="K198" s="101">
        <v>52</v>
      </c>
      <c r="L198" s="101">
        <v>9</v>
      </c>
      <c r="M198" s="101">
        <v>142</v>
      </c>
      <c r="N198" s="101">
        <v>15</v>
      </c>
      <c r="O198" s="101">
        <v>0</v>
      </c>
    </row>
    <row r="199" spans="1:15" x14ac:dyDescent="0.25">
      <c r="A199" s="102">
        <v>41832</v>
      </c>
      <c r="B199" s="101">
        <v>16</v>
      </c>
      <c r="C199" s="101">
        <v>40</v>
      </c>
      <c r="D199" s="101">
        <v>4</v>
      </c>
      <c r="E199" s="101">
        <v>8</v>
      </c>
      <c r="F199" s="101">
        <v>14</v>
      </c>
      <c r="G199" s="101">
        <v>6</v>
      </c>
      <c r="H199" s="101">
        <v>0</v>
      </c>
      <c r="I199" s="101">
        <v>22</v>
      </c>
      <c r="J199" s="101">
        <v>2</v>
      </c>
      <c r="K199" s="101">
        <v>30</v>
      </c>
      <c r="L199" s="101">
        <v>9</v>
      </c>
      <c r="M199" s="101">
        <v>75</v>
      </c>
      <c r="N199" s="101">
        <v>31</v>
      </c>
      <c r="O199" s="101">
        <v>0</v>
      </c>
    </row>
    <row r="200" spans="1:15" x14ac:dyDescent="0.25">
      <c r="A200" s="102">
        <v>41833</v>
      </c>
      <c r="B200" s="101">
        <v>15</v>
      </c>
      <c r="C200" s="101">
        <v>17</v>
      </c>
      <c r="D200" s="101">
        <v>1</v>
      </c>
      <c r="E200" s="101">
        <v>3</v>
      </c>
      <c r="F200" s="101">
        <v>0</v>
      </c>
      <c r="G200" s="101">
        <v>1</v>
      </c>
      <c r="H200" s="101">
        <v>0</v>
      </c>
      <c r="I200" s="101">
        <v>31</v>
      </c>
      <c r="J200" s="101">
        <v>2</v>
      </c>
      <c r="K200" s="101">
        <v>31</v>
      </c>
      <c r="L200" s="101">
        <v>2</v>
      </c>
      <c r="M200" s="101">
        <v>94</v>
      </c>
      <c r="N200" s="101">
        <v>2</v>
      </c>
      <c r="O200" s="101">
        <v>0</v>
      </c>
    </row>
    <row r="201" spans="1:15" x14ac:dyDescent="0.25">
      <c r="A201" s="102">
        <v>41834</v>
      </c>
      <c r="B201" s="101">
        <v>28</v>
      </c>
      <c r="C201" s="101">
        <v>41</v>
      </c>
      <c r="D201" s="101">
        <v>0</v>
      </c>
      <c r="E201" s="101">
        <v>4</v>
      </c>
      <c r="F201" s="101">
        <v>3</v>
      </c>
      <c r="G201" s="101">
        <v>4</v>
      </c>
      <c r="H201" s="101">
        <v>0</v>
      </c>
      <c r="I201" s="101">
        <v>31</v>
      </c>
      <c r="J201" s="101">
        <v>1</v>
      </c>
      <c r="K201" s="101">
        <v>44</v>
      </c>
      <c r="L201" s="101">
        <v>7</v>
      </c>
      <c r="M201" s="101">
        <v>124</v>
      </c>
      <c r="N201" s="101">
        <v>20</v>
      </c>
      <c r="O201" s="101">
        <v>0</v>
      </c>
    </row>
    <row r="202" spans="1:15" x14ac:dyDescent="0.25">
      <c r="A202" s="102">
        <v>41835</v>
      </c>
      <c r="B202" s="101">
        <v>28</v>
      </c>
      <c r="C202" s="101">
        <v>32</v>
      </c>
      <c r="D202" s="101">
        <v>0</v>
      </c>
      <c r="E202" s="101">
        <v>5</v>
      </c>
      <c r="F202" s="101">
        <v>1</v>
      </c>
      <c r="G202" s="101">
        <v>2</v>
      </c>
      <c r="H202" s="101">
        <v>0</v>
      </c>
      <c r="I202" s="101">
        <v>25</v>
      </c>
      <c r="J202" s="101">
        <v>3</v>
      </c>
      <c r="K202" s="101">
        <v>30</v>
      </c>
      <c r="L202" s="101">
        <v>3</v>
      </c>
      <c r="M202" s="101">
        <v>84</v>
      </c>
      <c r="N202" s="101">
        <v>3</v>
      </c>
      <c r="O202" s="101">
        <v>0</v>
      </c>
    </row>
    <row r="203" spans="1:15" x14ac:dyDescent="0.25">
      <c r="A203" s="102">
        <v>41836</v>
      </c>
      <c r="B203" s="101">
        <v>31</v>
      </c>
      <c r="C203" s="101">
        <v>21</v>
      </c>
      <c r="D203" s="101">
        <v>1</v>
      </c>
      <c r="E203" s="101">
        <v>1</v>
      </c>
      <c r="F203" s="101">
        <v>2</v>
      </c>
      <c r="G203" s="101">
        <v>0</v>
      </c>
      <c r="H203" s="101">
        <v>0</v>
      </c>
      <c r="I203" s="101">
        <v>17</v>
      </c>
      <c r="J203" s="101">
        <v>1</v>
      </c>
      <c r="K203" s="101">
        <v>21</v>
      </c>
      <c r="L203" s="101">
        <v>1</v>
      </c>
      <c r="M203" s="101">
        <v>64</v>
      </c>
      <c r="N203" s="101">
        <v>3</v>
      </c>
      <c r="O203" s="101">
        <v>0</v>
      </c>
    </row>
    <row r="204" spans="1:15" x14ac:dyDescent="0.25">
      <c r="A204" s="102">
        <v>41837</v>
      </c>
      <c r="B204" s="101">
        <v>35</v>
      </c>
      <c r="C204" s="101">
        <v>27</v>
      </c>
      <c r="D204" s="101">
        <v>1</v>
      </c>
      <c r="E204" s="101">
        <v>5</v>
      </c>
      <c r="F204" s="101">
        <v>3</v>
      </c>
      <c r="G204" s="101">
        <v>1</v>
      </c>
      <c r="H204" s="101">
        <v>0</v>
      </c>
      <c r="I204" s="101">
        <v>25</v>
      </c>
      <c r="J204" s="101">
        <v>5</v>
      </c>
      <c r="K204" s="101">
        <v>29</v>
      </c>
      <c r="L204" s="101">
        <v>5</v>
      </c>
      <c r="M204" s="101">
        <v>83</v>
      </c>
      <c r="N204" s="101">
        <v>7</v>
      </c>
      <c r="O204" s="101">
        <v>0</v>
      </c>
    </row>
    <row r="205" spans="1:15" x14ac:dyDescent="0.25">
      <c r="A205" s="102">
        <v>41838</v>
      </c>
      <c r="B205" s="101">
        <v>18</v>
      </c>
      <c r="C205" s="101">
        <v>33</v>
      </c>
      <c r="D205" s="101">
        <v>4</v>
      </c>
      <c r="E205" s="101">
        <v>16</v>
      </c>
      <c r="F205" s="101">
        <v>7</v>
      </c>
      <c r="G205" s="101">
        <v>6</v>
      </c>
      <c r="H205" s="101">
        <v>0</v>
      </c>
      <c r="I205" s="101">
        <v>50</v>
      </c>
      <c r="J205" s="101">
        <v>11</v>
      </c>
      <c r="K205" s="101">
        <v>56</v>
      </c>
      <c r="L205" s="101">
        <v>10</v>
      </c>
      <c r="M205" s="101">
        <v>153</v>
      </c>
      <c r="N205" s="101">
        <v>19</v>
      </c>
      <c r="O205" s="101">
        <v>0</v>
      </c>
    </row>
    <row r="206" spans="1:15" x14ac:dyDescent="0.25">
      <c r="A206" s="102">
        <v>41839</v>
      </c>
      <c r="B206" s="101">
        <v>10</v>
      </c>
      <c r="C206" s="101">
        <v>15</v>
      </c>
      <c r="D206" s="101">
        <v>0</v>
      </c>
      <c r="E206" s="101">
        <v>5</v>
      </c>
      <c r="F206" s="101">
        <v>5</v>
      </c>
      <c r="G206" s="101">
        <v>1</v>
      </c>
      <c r="H206" s="101">
        <v>0</v>
      </c>
      <c r="I206" s="101">
        <v>21</v>
      </c>
      <c r="J206" s="101">
        <v>4</v>
      </c>
      <c r="K206" s="101">
        <v>22</v>
      </c>
      <c r="L206" s="101">
        <v>4</v>
      </c>
      <c r="M206" s="101">
        <v>58</v>
      </c>
      <c r="N206" s="101">
        <v>10</v>
      </c>
      <c r="O206" s="101">
        <v>0</v>
      </c>
    </row>
    <row r="207" spans="1:15" x14ac:dyDescent="0.25">
      <c r="A207" s="102">
        <v>41840</v>
      </c>
      <c r="B207" s="101">
        <v>11</v>
      </c>
      <c r="C207" s="101">
        <v>12</v>
      </c>
      <c r="D207" s="101">
        <v>4</v>
      </c>
      <c r="E207" s="101">
        <v>4</v>
      </c>
      <c r="F207" s="101">
        <v>2</v>
      </c>
      <c r="G207" s="101">
        <v>3</v>
      </c>
      <c r="H207" s="101">
        <v>0</v>
      </c>
      <c r="I207" s="101">
        <v>32</v>
      </c>
      <c r="J207" s="101">
        <v>8</v>
      </c>
      <c r="K207" s="101">
        <v>34</v>
      </c>
      <c r="L207" s="101">
        <v>5</v>
      </c>
      <c r="M207" s="101">
        <v>103</v>
      </c>
      <c r="N207" s="101">
        <v>11</v>
      </c>
      <c r="O207" s="101">
        <v>0</v>
      </c>
    </row>
    <row r="208" spans="1:15" x14ac:dyDescent="0.25">
      <c r="A208" s="102">
        <v>41841</v>
      </c>
      <c r="B208" s="101">
        <v>23</v>
      </c>
      <c r="C208" s="101">
        <v>35</v>
      </c>
      <c r="D208" s="101">
        <v>2</v>
      </c>
      <c r="E208" s="101">
        <v>5</v>
      </c>
      <c r="F208" s="101">
        <v>1</v>
      </c>
      <c r="G208" s="101">
        <v>1</v>
      </c>
      <c r="H208" s="101">
        <v>0</v>
      </c>
      <c r="I208" s="101">
        <v>37</v>
      </c>
      <c r="J208" s="101">
        <v>1</v>
      </c>
      <c r="K208" s="101">
        <v>41</v>
      </c>
      <c r="L208" s="101">
        <v>1</v>
      </c>
      <c r="M208" s="101">
        <v>124</v>
      </c>
      <c r="N208" s="101">
        <v>2</v>
      </c>
      <c r="O208" s="101">
        <v>0</v>
      </c>
    </row>
    <row r="209" spans="1:15" x14ac:dyDescent="0.25">
      <c r="A209" s="102">
        <v>41842</v>
      </c>
      <c r="B209" s="101">
        <v>23</v>
      </c>
      <c r="C209" s="101">
        <v>29</v>
      </c>
      <c r="D209" s="101">
        <v>2</v>
      </c>
      <c r="E209" s="101">
        <v>6</v>
      </c>
      <c r="F209" s="101">
        <v>0</v>
      </c>
      <c r="G209" s="101">
        <v>0</v>
      </c>
      <c r="H209" s="101">
        <v>0</v>
      </c>
      <c r="I209" s="101">
        <v>28</v>
      </c>
      <c r="J209" s="101">
        <v>0</v>
      </c>
      <c r="K209" s="101">
        <v>32</v>
      </c>
      <c r="L209" s="101">
        <v>0</v>
      </c>
      <c r="M209" s="101">
        <v>97</v>
      </c>
      <c r="N209" s="101">
        <v>0</v>
      </c>
      <c r="O209" s="101">
        <v>0</v>
      </c>
    </row>
    <row r="210" spans="1:15" x14ac:dyDescent="0.25">
      <c r="A210" s="102">
        <v>41843</v>
      </c>
      <c r="B210" s="101">
        <v>25</v>
      </c>
      <c r="C210" s="101">
        <v>32</v>
      </c>
      <c r="D210" s="101">
        <v>1</v>
      </c>
      <c r="E210" s="101">
        <v>2</v>
      </c>
      <c r="F210" s="101">
        <v>1</v>
      </c>
      <c r="G210" s="101">
        <v>4</v>
      </c>
      <c r="H210" s="101">
        <v>0</v>
      </c>
      <c r="I210" s="101">
        <v>25</v>
      </c>
      <c r="J210" s="101">
        <v>3</v>
      </c>
      <c r="K210" s="101">
        <v>30</v>
      </c>
      <c r="L210" s="101">
        <v>3</v>
      </c>
      <c r="M210" s="101">
        <v>87</v>
      </c>
      <c r="N210" s="101">
        <v>6</v>
      </c>
      <c r="O210" s="101">
        <v>0</v>
      </c>
    </row>
    <row r="211" spans="1:15" x14ac:dyDescent="0.25">
      <c r="A211" s="102">
        <v>41844</v>
      </c>
      <c r="B211" s="101">
        <v>34</v>
      </c>
      <c r="C211" s="101">
        <v>20</v>
      </c>
      <c r="D211" s="101">
        <v>3</v>
      </c>
      <c r="E211" s="101">
        <v>3</v>
      </c>
      <c r="F211" s="101">
        <v>0</v>
      </c>
      <c r="G211" s="101">
        <v>1</v>
      </c>
      <c r="H211" s="101">
        <v>0</v>
      </c>
      <c r="I211" s="101">
        <v>33</v>
      </c>
      <c r="J211" s="101">
        <v>1</v>
      </c>
      <c r="K211" s="101">
        <v>37</v>
      </c>
      <c r="L211" s="101">
        <v>1</v>
      </c>
      <c r="M211" s="101">
        <v>110</v>
      </c>
      <c r="N211" s="101">
        <v>1</v>
      </c>
      <c r="O211" s="101">
        <v>0</v>
      </c>
    </row>
    <row r="212" spans="1:15" x14ac:dyDescent="0.25">
      <c r="A212" s="102">
        <v>41845</v>
      </c>
      <c r="B212" s="101">
        <v>16</v>
      </c>
      <c r="C212" s="101">
        <v>19</v>
      </c>
      <c r="D212" s="101">
        <v>5</v>
      </c>
      <c r="E212" s="101">
        <v>12</v>
      </c>
      <c r="F212" s="101">
        <v>7</v>
      </c>
      <c r="G212" s="101">
        <v>1</v>
      </c>
      <c r="H212" s="101">
        <v>0</v>
      </c>
      <c r="I212" s="101">
        <v>55</v>
      </c>
      <c r="J212" s="101">
        <v>6</v>
      </c>
      <c r="K212" s="101">
        <v>61</v>
      </c>
      <c r="L212" s="101">
        <v>6</v>
      </c>
      <c r="M212" s="101">
        <v>173</v>
      </c>
      <c r="N212" s="101">
        <v>9</v>
      </c>
      <c r="O212" s="101">
        <v>0</v>
      </c>
    </row>
    <row r="213" spans="1:15" x14ac:dyDescent="0.25">
      <c r="A213" s="102">
        <v>41846</v>
      </c>
      <c r="B213" s="101">
        <v>8</v>
      </c>
      <c r="C213" s="101">
        <v>13</v>
      </c>
      <c r="D213" s="101">
        <v>1</v>
      </c>
      <c r="E213" s="101">
        <v>2</v>
      </c>
      <c r="F213" s="101">
        <v>2</v>
      </c>
      <c r="G213" s="101">
        <v>5</v>
      </c>
      <c r="H213" s="101">
        <v>0</v>
      </c>
      <c r="I213" s="101">
        <v>20</v>
      </c>
      <c r="J213" s="101">
        <v>5</v>
      </c>
      <c r="K213" s="101">
        <v>21</v>
      </c>
      <c r="L213" s="101">
        <v>3</v>
      </c>
      <c r="M213" s="101">
        <v>56</v>
      </c>
      <c r="N213" s="101">
        <v>11</v>
      </c>
      <c r="O213" s="101">
        <v>0</v>
      </c>
    </row>
    <row r="214" spans="1:15" x14ac:dyDescent="0.25">
      <c r="A214" s="102">
        <v>41847</v>
      </c>
      <c r="B214" s="101">
        <v>8</v>
      </c>
      <c r="C214" s="101">
        <v>6</v>
      </c>
      <c r="D214" s="101">
        <v>0</v>
      </c>
      <c r="E214" s="101">
        <v>7</v>
      </c>
      <c r="F214" s="101">
        <v>3</v>
      </c>
      <c r="G214" s="101">
        <v>0</v>
      </c>
      <c r="H214" s="101">
        <v>0</v>
      </c>
      <c r="I214" s="101">
        <v>36</v>
      </c>
      <c r="J214" s="101">
        <v>4</v>
      </c>
      <c r="K214" s="101">
        <v>38</v>
      </c>
      <c r="L214" s="101">
        <v>4</v>
      </c>
      <c r="M214" s="101">
        <v>103</v>
      </c>
      <c r="N214" s="101">
        <v>6</v>
      </c>
      <c r="O214" s="101">
        <v>0</v>
      </c>
    </row>
    <row r="215" spans="1:15" x14ac:dyDescent="0.25">
      <c r="A215" s="102">
        <v>41848</v>
      </c>
      <c r="B215" s="101">
        <v>16</v>
      </c>
      <c r="C215" s="101">
        <v>21</v>
      </c>
      <c r="D215" s="101">
        <v>0</v>
      </c>
      <c r="E215" s="101">
        <v>3</v>
      </c>
      <c r="F215" s="101">
        <v>0</v>
      </c>
      <c r="G215" s="101">
        <v>0</v>
      </c>
      <c r="H215" s="101">
        <v>0</v>
      </c>
      <c r="I215" s="101">
        <v>39</v>
      </c>
      <c r="J215" s="101">
        <v>0</v>
      </c>
      <c r="K215" s="101">
        <v>42</v>
      </c>
      <c r="L215" s="101">
        <v>0</v>
      </c>
      <c r="M215" s="101">
        <v>128</v>
      </c>
      <c r="N215" s="101">
        <v>0</v>
      </c>
      <c r="O215" s="101">
        <v>0</v>
      </c>
    </row>
    <row r="216" spans="1:15" x14ac:dyDescent="0.25">
      <c r="A216" s="102">
        <v>41849</v>
      </c>
      <c r="B216" s="101">
        <v>31</v>
      </c>
      <c r="C216" s="101">
        <v>29</v>
      </c>
      <c r="D216" s="101">
        <v>2</v>
      </c>
      <c r="E216" s="101">
        <v>3</v>
      </c>
      <c r="F216" s="101">
        <v>1</v>
      </c>
      <c r="G216" s="101">
        <v>0</v>
      </c>
      <c r="H216" s="101">
        <v>0</v>
      </c>
      <c r="I216" s="101">
        <v>31</v>
      </c>
      <c r="J216" s="101">
        <v>1</v>
      </c>
      <c r="K216" s="101">
        <v>34</v>
      </c>
      <c r="L216" s="101">
        <v>1</v>
      </c>
      <c r="M216" s="101">
        <v>109</v>
      </c>
      <c r="N216" s="101">
        <v>2</v>
      </c>
      <c r="O216" s="101">
        <v>0</v>
      </c>
    </row>
    <row r="217" spans="1:15" x14ac:dyDescent="0.25">
      <c r="A217" s="102">
        <v>41850</v>
      </c>
      <c r="B217" s="101">
        <v>45</v>
      </c>
      <c r="C217" s="101">
        <v>47</v>
      </c>
      <c r="D217" s="101">
        <v>1</v>
      </c>
      <c r="E217" s="101">
        <v>3</v>
      </c>
      <c r="F217" s="101">
        <v>4</v>
      </c>
      <c r="G217" s="101">
        <v>2</v>
      </c>
      <c r="H217" s="101">
        <v>0</v>
      </c>
      <c r="I217" s="101">
        <v>27</v>
      </c>
      <c r="J217" s="101">
        <v>3</v>
      </c>
      <c r="K217" s="101">
        <v>34</v>
      </c>
      <c r="L217" s="101">
        <v>2</v>
      </c>
      <c r="M217" s="101">
        <v>99</v>
      </c>
      <c r="N217" s="101">
        <v>6</v>
      </c>
      <c r="O217" s="101">
        <v>0</v>
      </c>
    </row>
    <row r="218" spans="1:15" x14ac:dyDescent="0.25">
      <c r="A218" s="102">
        <v>41851</v>
      </c>
      <c r="B218" s="101">
        <v>62</v>
      </c>
      <c r="C218" s="101">
        <v>66</v>
      </c>
      <c r="D218" s="101">
        <v>2</v>
      </c>
      <c r="E218" s="101">
        <v>7</v>
      </c>
      <c r="F218" s="101">
        <v>5</v>
      </c>
      <c r="G218" s="101">
        <v>1</v>
      </c>
      <c r="H218" s="101">
        <v>0</v>
      </c>
      <c r="I218" s="101">
        <v>40</v>
      </c>
      <c r="J218" s="101">
        <v>4</v>
      </c>
      <c r="K218" s="101">
        <v>43</v>
      </c>
      <c r="L218" s="101">
        <v>4</v>
      </c>
      <c r="M218" s="101">
        <v>129</v>
      </c>
      <c r="N218" s="101">
        <v>6</v>
      </c>
      <c r="O218" s="101">
        <v>0</v>
      </c>
    </row>
    <row r="219" spans="1:15" x14ac:dyDescent="0.25">
      <c r="A219" s="102">
        <v>41852</v>
      </c>
      <c r="B219" s="101">
        <v>28</v>
      </c>
      <c r="C219" s="101">
        <v>18</v>
      </c>
      <c r="D219" s="101">
        <v>8</v>
      </c>
      <c r="E219" s="101">
        <v>17</v>
      </c>
      <c r="F219" s="101">
        <v>18</v>
      </c>
      <c r="G219" s="101">
        <v>12</v>
      </c>
      <c r="H219" s="101">
        <v>0</v>
      </c>
      <c r="I219" s="101">
        <v>51</v>
      </c>
      <c r="J219" s="101">
        <v>9</v>
      </c>
      <c r="K219" s="101">
        <v>64</v>
      </c>
      <c r="L219" s="101">
        <v>16</v>
      </c>
      <c r="M219" s="101">
        <v>164</v>
      </c>
      <c r="N219" s="101">
        <v>54</v>
      </c>
      <c r="O219" s="101">
        <v>0</v>
      </c>
    </row>
    <row r="220" spans="1:15" x14ac:dyDescent="0.25">
      <c r="A220" s="102">
        <v>41853</v>
      </c>
      <c r="B220" s="101">
        <v>13</v>
      </c>
      <c r="C220" s="101">
        <v>9</v>
      </c>
      <c r="D220" s="101">
        <v>4</v>
      </c>
      <c r="E220" s="101">
        <v>4</v>
      </c>
      <c r="F220" s="101">
        <v>8</v>
      </c>
      <c r="G220" s="101">
        <v>3</v>
      </c>
      <c r="H220" s="101">
        <v>0</v>
      </c>
      <c r="I220" s="101">
        <v>24</v>
      </c>
      <c r="J220" s="101">
        <v>5</v>
      </c>
      <c r="K220" s="101">
        <v>26</v>
      </c>
      <c r="L220" s="101">
        <v>5</v>
      </c>
      <c r="M220" s="101">
        <v>73</v>
      </c>
      <c r="N220" s="101">
        <v>15</v>
      </c>
      <c r="O220" s="101">
        <v>0</v>
      </c>
    </row>
    <row r="221" spans="1:15" x14ac:dyDescent="0.25">
      <c r="A221" s="102">
        <v>41854</v>
      </c>
      <c r="B221" s="101">
        <v>9</v>
      </c>
      <c r="C221" s="101">
        <v>11</v>
      </c>
      <c r="D221" s="101">
        <v>3</v>
      </c>
      <c r="E221" s="101">
        <v>4</v>
      </c>
      <c r="F221" s="101">
        <v>4</v>
      </c>
      <c r="G221" s="101">
        <v>4</v>
      </c>
      <c r="H221" s="101">
        <v>0</v>
      </c>
      <c r="I221" s="101">
        <v>37</v>
      </c>
      <c r="J221" s="101">
        <v>4</v>
      </c>
      <c r="K221" s="101">
        <v>43</v>
      </c>
      <c r="L221" s="101">
        <v>9</v>
      </c>
      <c r="M221" s="101">
        <v>106</v>
      </c>
      <c r="N221" s="101">
        <v>28</v>
      </c>
      <c r="O221" s="101">
        <v>0</v>
      </c>
    </row>
    <row r="222" spans="1:15" x14ac:dyDescent="0.25">
      <c r="A222" s="102">
        <v>41855</v>
      </c>
      <c r="B222" s="101">
        <v>20</v>
      </c>
      <c r="C222" s="101">
        <v>31</v>
      </c>
      <c r="D222" s="101">
        <v>1</v>
      </c>
      <c r="E222" s="101">
        <v>4</v>
      </c>
      <c r="F222" s="101">
        <v>0</v>
      </c>
      <c r="G222" s="101">
        <v>1</v>
      </c>
      <c r="H222" s="101">
        <v>0</v>
      </c>
      <c r="I222" s="101">
        <v>29</v>
      </c>
      <c r="J222" s="101">
        <v>2</v>
      </c>
      <c r="K222" s="101">
        <v>29</v>
      </c>
      <c r="L222" s="101">
        <v>2</v>
      </c>
      <c r="M222" s="101">
        <v>86</v>
      </c>
      <c r="N222" s="101">
        <v>6</v>
      </c>
      <c r="O222" s="101">
        <v>0</v>
      </c>
    </row>
    <row r="223" spans="1:15" x14ac:dyDescent="0.25">
      <c r="A223" s="102">
        <v>41856</v>
      </c>
      <c r="B223" s="101">
        <v>24</v>
      </c>
      <c r="C223" s="101">
        <v>22</v>
      </c>
      <c r="D223" s="101">
        <v>3</v>
      </c>
      <c r="E223" s="101">
        <v>6</v>
      </c>
      <c r="F223" s="101">
        <v>1</v>
      </c>
      <c r="G223" s="101">
        <v>1</v>
      </c>
      <c r="H223" s="101">
        <v>0</v>
      </c>
      <c r="I223" s="101">
        <v>26</v>
      </c>
      <c r="J223" s="101">
        <v>2</v>
      </c>
      <c r="K223" s="101">
        <v>27</v>
      </c>
      <c r="L223" s="101">
        <v>2</v>
      </c>
      <c r="M223" s="101">
        <v>78</v>
      </c>
      <c r="N223" s="101">
        <v>2</v>
      </c>
      <c r="O223" s="101">
        <v>0</v>
      </c>
    </row>
    <row r="224" spans="1:15" x14ac:dyDescent="0.25">
      <c r="A224" s="102">
        <v>41857</v>
      </c>
      <c r="B224" s="101">
        <v>20</v>
      </c>
      <c r="C224" s="101">
        <v>18</v>
      </c>
      <c r="D224" s="101">
        <v>0</v>
      </c>
      <c r="E224" s="101">
        <v>4</v>
      </c>
      <c r="F224" s="101">
        <v>1</v>
      </c>
      <c r="G224" s="101">
        <v>1</v>
      </c>
      <c r="H224" s="101">
        <v>0</v>
      </c>
      <c r="I224" s="101">
        <v>18</v>
      </c>
      <c r="J224" s="101">
        <v>2</v>
      </c>
      <c r="K224" s="101">
        <v>19</v>
      </c>
      <c r="L224" s="101">
        <v>2</v>
      </c>
      <c r="M224" s="101">
        <v>50</v>
      </c>
      <c r="N224" s="101">
        <v>2</v>
      </c>
      <c r="O224" s="101">
        <v>0</v>
      </c>
    </row>
    <row r="225" spans="1:15" x14ac:dyDescent="0.25">
      <c r="A225" s="102">
        <v>41858</v>
      </c>
      <c r="B225" s="101">
        <v>14</v>
      </c>
      <c r="C225" s="101">
        <v>33</v>
      </c>
      <c r="D225" s="101">
        <v>1</v>
      </c>
      <c r="E225" s="101">
        <v>4</v>
      </c>
      <c r="F225" s="101">
        <v>4</v>
      </c>
      <c r="G225" s="101">
        <v>3</v>
      </c>
      <c r="H225" s="101">
        <v>0</v>
      </c>
      <c r="I225" s="101">
        <v>21</v>
      </c>
      <c r="J225" s="101">
        <v>3</v>
      </c>
      <c r="K225" s="101">
        <v>24</v>
      </c>
      <c r="L225" s="101">
        <v>3</v>
      </c>
      <c r="M225" s="101">
        <v>75</v>
      </c>
      <c r="N225" s="101">
        <v>8</v>
      </c>
      <c r="O225" s="101">
        <v>0</v>
      </c>
    </row>
    <row r="226" spans="1:15" x14ac:dyDescent="0.25">
      <c r="A226" s="102">
        <v>41859</v>
      </c>
      <c r="B226" s="101">
        <v>24</v>
      </c>
      <c r="C226" s="101">
        <v>35</v>
      </c>
      <c r="D226" s="101">
        <v>3</v>
      </c>
      <c r="E226" s="101">
        <v>9</v>
      </c>
      <c r="F226" s="101">
        <v>9</v>
      </c>
      <c r="G226" s="101">
        <v>5</v>
      </c>
      <c r="H226" s="101">
        <v>0</v>
      </c>
      <c r="I226" s="101">
        <v>41</v>
      </c>
      <c r="J226" s="101">
        <v>7</v>
      </c>
      <c r="K226" s="101">
        <v>47</v>
      </c>
      <c r="L226" s="101">
        <v>8</v>
      </c>
      <c r="M226" s="101">
        <v>124</v>
      </c>
      <c r="N226" s="101">
        <v>15</v>
      </c>
      <c r="O226" s="101">
        <v>0</v>
      </c>
    </row>
    <row r="227" spans="1:15" x14ac:dyDescent="0.25">
      <c r="A227" s="102">
        <v>41860</v>
      </c>
      <c r="B227" s="101">
        <v>12</v>
      </c>
      <c r="C227" s="101">
        <v>8</v>
      </c>
      <c r="D227" s="101">
        <v>2</v>
      </c>
      <c r="E227" s="101">
        <v>4</v>
      </c>
      <c r="F227" s="101">
        <v>0</v>
      </c>
      <c r="G227" s="101">
        <v>1</v>
      </c>
      <c r="H227" s="101">
        <v>0</v>
      </c>
      <c r="I227" s="101">
        <v>21</v>
      </c>
      <c r="J227" s="101">
        <v>2</v>
      </c>
      <c r="K227" s="101">
        <v>21</v>
      </c>
      <c r="L227" s="101">
        <v>2</v>
      </c>
      <c r="M227" s="101">
        <v>68</v>
      </c>
      <c r="N227" s="101">
        <v>3</v>
      </c>
      <c r="O227" s="101">
        <v>0</v>
      </c>
    </row>
    <row r="228" spans="1:15" x14ac:dyDescent="0.25">
      <c r="A228" s="102">
        <v>41861</v>
      </c>
      <c r="B228" s="101">
        <v>3</v>
      </c>
      <c r="C228" s="101">
        <v>8</v>
      </c>
      <c r="D228" s="101">
        <v>1</v>
      </c>
      <c r="E228" s="101">
        <v>3</v>
      </c>
      <c r="F228" s="101">
        <v>2</v>
      </c>
      <c r="G228" s="101">
        <v>0</v>
      </c>
      <c r="H228" s="101">
        <v>0</v>
      </c>
      <c r="I228" s="101">
        <v>23</v>
      </c>
      <c r="J228" s="101">
        <v>4</v>
      </c>
      <c r="K228" s="101">
        <v>27</v>
      </c>
      <c r="L228" s="101">
        <v>4</v>
      </c>
      <c r="M228" s="101">
        <v>77</v>
      </c>
      <c r="N228" s="101">
        <v>6</v>
      </c>
      <c r="O228" s="101">
        <v>0</v>
      </c>
    </row>
    <row r="229" spans="1:15" x14ac:dyDescent="0.25">
      <c r="A229" s="102">
        <v>41862</v>
      </c>
      <c r="B229" s="101">
        <v>30</v>
      </c>
      <c r="C229" s="101">
        <v>26</v>
      </c>
      <c r="D229" s="101">
        <v>1</v>
      </c>
      <c r="E229" s="101">
        <v>3</v>
      </c>
      <c r="F229" s="101">
        <v>1</v>
      </c>
      <c r="G229" s="101">
        <v>0</v>
      </c>
      <c r="H229" s="101">
        <v>0</v>
      </c>
      <c r="I229" s="101">
        <v>31</v>
      </c>
      <c r="J229" s="101">
        <v>1</v>
      </c>
      <c r="K229" s="101">
        <v>33</v>
      </c>
      <c r="L229" s="101">
        <v>1</v>
      </c>
      <c r="M229" s="101">
        <v>100</v>
      </c>
      <c r="N229" s="101">
        <v>1</v>
      </c>
      <c r="O229" s="101">
        <v>0</v>
      </c>
    </row>
    <row r="230" spans="1:15" x14ac:dyDescent="0.25">
      <c r="A230" s="102">
        <v>41863</v>
      </c>
      <c r="B230" s="101">
        <v>26</v>
      </c>
      <c r="C230" s="101">
        <v>25</v>
      </c>
      <c r="D230" s="101">
        <v>0</v>
      </c>
      <c r="E230" s="101">
        <v>6</v>
      </c>
      <c r="F230" s="101">
        <v>0</v>
      </c>
      <c r="G230" s="101">
        <v>0</v>
      </c>
      <c r="H230" s="101">
        <v>0</v>
      </c>
      <c r="I230" s="101">
        <v>26</v>
      </c>
      <c r="J230" s="101">
        <v>0</v>
      </c>
      <c r="K230" s="101">
        <v>31</v>
      </c>
      <c r="L230" s="101">
        <v>0</v>
      </c>
      <c r="M230" s="101">
        <v>94</v>
      </c>
      <c r="N230" s="101">
        <v>0</v>
      </c>
      <c r="O230" s="101">
        <v>0</v>
      </c>
    </row>
    <row r="231" spans="1:15" x14ac:dyDescent="0.25">
      <c r="A231" s="102">
        <v>41864</v>
      </c>
      <c r="B231" s="101">
        <v>27</v>
      </c>
      <c r="C231" s="101">
        <v>27</v>
      </c>
      <c r="D231" s="101">
        <v>1</v>
      </c>
      <c r="E231" s="101">
        <v>2</v>
      </c>
      <c r="F231" s="101">
        <v>3</v>
      </c>
      <c r="G231" s="101">
        <v>4</v>
      </c>
      <c r="H231" s="101">
        <v>0</v>
      </c>
      <c r="I231" s="101">
        <v>22</v>
      </c>
      <c r="J231" s="101">
        <v>3</v>
      </c>
      <c r="K231" s="101">
        <v>29</v>
      </c>
      <c r="L231" s="101">
        <v>3</v>
      </c>
      <c r="M231" s="101">
        <v>80</v>
      </c>
      <c r="N231" s="101">
        <v>7</v>
      </c>
      <c r="O231" s="101">
        <v>0</v>
      </c>
    </row>
    <row r="232" spans="1:15" x14ac:dyDescent="0.25">
      <c r="A232" s="102">
        <v>41865</v>
      </c>
      <c r="B232" s="101">
        <v>21</v>
      </c>
      <c r="C232" s="101">
        <v>24</v>
      </c>
      <c r="D232" s="101">
        <v>1</v>
      </c>
      <c r="E232" s="101">
        <v>7</v>
      </c>
      <c r="F232" s="101">
        <v>5</v>
      </c>
      <c r="G232" s="101">
        <v>5</v>
      </c>
      <c r="H232" s="101">
        <v>0</v>
      </c>
      <c r="I232" s="101">
        <v>35</v>
      </c>
      <c r="J232" s="101">
        <v>6</v>
      </c>
      <c r="K232" s="101">
        <v>38</v>
      </c>
      <c r="L232" s="101">
        <v>4</v>
      </c>
      <c r="M232" s="101">
        <v>104</v>
      </c>
      <c r="N232" s="101">
        <v>13</v>
      </c>
      <c r="O232" s="101">
        <v>0</v>
      </c>
    </row>
    <row r="233" spans="1:15" x14ac:dyDescent="0.25">
      <c r="A233" s="102">
        <v>41866</v>
      </c>
      <c r="B233" s="101">
        <v>14</v>
      </c>
      <c r="C233" s="101">
        <v>26</v>
      </c>
      <c r="D233" s="101">
        <v>5</v>
      </c>
      <c r="E233" s="101">
        <v>6</v>
      </c>
      <c r="F233" s="101">
        <v>7</v>
      </c>
      <c r="G233" s="101">
        <v>9</v>
      </c>
      <c r="H233" s="101">
        <v>0</v>
      </c>
      <c r="I233" s="101">
        <v>45</v>
      </c>
      <c r="J233" s="101">
        <v>7</v>
      </c>
      <c r="K233" s="101">
        <v>54</v>
      </c>
      <c r="L233" s="101">
        <v>11</v>
      </c>
      <c r="M233" s="101">
        <v>148</v>
      </c>
      <c r="N233" s="101">
        <v>24</v>
      </c>
      <c r="O233" s="101">
        <v>0</v>
      </c>
    </row>
    <row r="234" spans="1:15" x14ac:dyDescent="0.25">
      <c r="A234" s="102">
        <v>41867</v>
      </c>
      <c r="B234" s="101">
        <v>10</v>
      </c>
      <c r="C234" s="101">
        <v>11</v>
      </c>
      <c r="D234" s="101">
        <v>1</v>
      </c>
      <c r="E234" s="101">
        <v>2</v>
      </c>
      <c r="F234" s="101">
        <v>2</v>
      </c>
      <c r="G234" s="101">
        <v>3</v>
      </c>
      <c r="H234" s="101">
        <v>0</v>
      </c>
      <c r="I234" s="101">
        <v>18</v>
      </c>
      <c r="J234" s="101">
        <v>4</v>
      </c>
      <c r="K234" s="101">
        <v>20</v>
      </c>
      <c r="L234" s="101">
        <v>4</v>
      </c>
      <c r="M234" s="101">
        <v>58</v>
      </c>
      <c r="N234" s="101">
        <v>8</v>
      </c>
      <c r="O234" s="101">
        <v>0</v>
      </c>
    </row>
    <row r="235" spans="1:15" x14ac:dyDescent="0.25">
      <c r="A235" s="102">
        <v>41868</v>
      </c>
      <c r="B235" s="101">
        <v>15</v>
      </c>
      <c r="C235" s="101">
        <v>20</v>
      </c>
      <c r="D235" s="101">
        <v>0</v>
      </c>
      <c r="E235" s="101">
        <v>1</v>
      </c>
      <c r="F235" s="101">
        <v>3</v>
      </c>
      <c r="G235" s="101">
        <v>1</v>
      </c>
      <c r="H235" s="101">
        <v>0</v>
      </c>
      <c r="I235" s="101">
        <v>33</v>
      </c>
      <c r="J235" s="101">
        <v>4</v>
      </c>
      <c r="K235" s="101">
        <v>35</v>
      </c>
      <c r="L235" s="101">
        <v>5</v>
      </c>
      <c r="M235" s="101">
        <v>103</v>
      </c>
      <c r="N235" s="101">
        <v>8</v>
      </c>
      <c r="O235" s="101">
        <v>0</v>
      </c>
    </row>
    <row r="236" spans="1:15" x14ac:dyDescent="0.25">
      <c r="A236" s="102">
        <v>41869</v>
      </c>
      <c r="B236" s="101">
        <v>22</v>
      </c>
      <c r="C236" s="101">
        <v>28</v>
      </c>
      <c r="D236" s="101">
        <v>0</v>
      </c>
      <c r="E236" s="101">
        <v>2</v>
      </c>
      <c r="F236" s="101">
        <v>1</v>
      </c>
      <c r="G236" s="101">
        <v>1</v>
      </c>
      <c r="H236" s="101">
        <v>0</v>
      </c>
      <c r="I236" s="101">
        <v>32</v>
      </c>
      <c r="J236" s="101">
        <v>2</v>
      </c>
      <c r="K236" s="101">
        <v>34</v>
      </c>
      <c r="L236" s="101">
        <v>2</v>
      </c>
      <c r="M236" s="101">
        <v>102</v>
      </c>
      <c r="N236" s="101">
        <v>2</v>
      </c>
      <c r="O236" s="101">
        <v>0</v>
      </c>
    </row>
    <row r="237" spans="1:15" x14ac:dyDescent="0.25">
      <c r="A237" s="102">
        <v>41870</v>
      </c>
      <c r="B237" s="101">
        <v>19</v>
      </c>
      <c r="C237" s="101">
        <v>16</v>
      </c>
      <c r="D237" s="101">
        <v>0</v>
      </c>
      <c r="E237" s="101">
        <v>2</v>
      </c>
      <c r="F237" s="101">
        <v>2</v>
      </c>
      <c r="G237" s="101">
        <v>3</v>
      </c>
      <c r="H237" s="101">
        <v>0</v>
      </c>
      <c r="I237" s="101">
        <v>24</v>
      </c>
      <c r="J237" s="101">
        <v>4</v>
      </c>
      <c r="K237" s="101">
        <v>29</v>
      </c>
      <c r="L237" s="101">
        <v>3</v>
      </c>
      <c r="M237" s="101">
        <v>80</v>
      </c>
      <c r="N237" s="101">
        <v>6</v>
      </c>
      <c r="O237" s="101">
        <v>0</v>
      </c>
    </row>
    <row r="238" spans="1:15" x14ac:dyDescent="0.25">
      <c r="A238" s="102">
        <v>41871</v>
      </c>
      <c r="B238" s="101">
        <v>25</v>
      </c>
      <c r="C238" s="101">
        <v>26</v>
      </c>
      <c r="D238" s="101">
        <v>1</v>
      </c>
      <c r="E238" s="101">
        <v>1</v>
      </c>
      <c r="F238" s="101">
        <v>0</v>
      </c>
      <c r="G238" s="101">
        <v>0</v>
      </c>
      <c r="H238" s="101">
        <v>0</v>
      </c>
      <c r="I238" s="101">
        <v>20</v>
      </c>
      <c r="J238" s="101">
        <v>0</v>
      </c>
      <c r="K238" s="101">
        <v>22</v>
      </c>
      <c r="L238" s="101">
        <v>0</v>
      </c>
      <c r="M238" s="101">
        <v>60</v>
      </c>
      <c r="N238" s="101">
        <v>0</v>
      </c>
      <c r="O238" s="101">
        <v>0</v>
      </c>
    </row>
    <row r="239" spans="1:15" x14ac:dyDescent="0.25">
      <c r="A239" s="102">
        <v>41872</v>
      </c>
      <c r="B239" s="101">
        <v>25</v>
      </c>
      <c r="C239" s="101">
        <v>31</v>
      </c>
      <c r="D239" s="101">
        <v>1</v>
      </c>
      <c r="E239" s="101">
        <v>1</v>
      </c>
      <c r="F239" s="101">
        <v>4</v>
      </c>
      <c r="G239" s="101">
        <v>3</v>
      </c>
      <c r="H239" s="101">
        <v>0</v>
      </c>
      <c r="I239" s="101">
        <v>25</v>
      </c>
      <c r="J239" s="101">
        <v>4</v>
      </c>
      <c r="K239" s="101">
        <v>28</v>
      </c>
      <c r="L239" s="101">
        <v>4</v>
      </c>
      <c r="M239" s="101">
        <v>76</v>
      </c>
      <c r="N239" s="101">
        <v>9</v>
      </c>
      <c r="O239" s="101">
        <v>0</v>
      </c>
    </row>
    <row r="240" spans="1:15" x14ac:dyDescent="0.25">
      <c r="A240" s="102">
        <v>41873</v>
      </c>
      <c r="B240" s="101">
        <v>26</v>
      </c>
      <c r="C240" s="101">
        <v>21</v>
      </c>
      <c r="D240" s="101">
        <v>3</v>
      </c>
      <c r="E240" s="101">
        <v>11</v>
      </c>
      <c r="F240" s="101">
        <v>11</v>
      </c>
      <c r="G240" s="101">
        <v>3</v>
      </c>
      <c r="H240" s="101">
        <v>0</v>
      </c>
      <c r="I240" s="101">
        <v>49</v>
      </c>
      <c r="J240" s="101">
        <v>8</v>
      </c>
      <c r="K240" s="101">
        <v>58</v>
      </c>
      <c r="L240" s="101">
        <v>11</v>
      </c>
      <c r="M240" s="101">
        <v>154</v>
      </c>
      <c r="N240" s="101">
        <v>25</v>
      </c>
      <c r="O240" s="101">
        <v>0</v>
      </c>
    </row>
    <row r="241" spans="1:15" x14ac:dyDescent="0.25">
      <c r="A241" s="102">
        <v>41874</v>
      </c>
      <c r="B241" s="101">
        <v>8</v>
      </c>
      <c r="C241" s="101">
        <v>9</v>
      </c>
      <c r="D241" s="101">
        <v>2</v>
      </c>
      <c r="E241" s="101">
        <v>5</v>
      </c>
      <c r="F241" s="101">
        <v>6</v>
      </c>
      <c r="G241" s="101">
        <v>4</v>
      </c>
      <c r="H241" s="101">
        <v>0</v>
      </c>
      <c r="I241" s="101">
        <v>19</v>
      </c>
      <c r="J241" s="101">
        <v>6</v>
      </c>
      <c r="K241" s="101">
        <v>21</v>
      </c>
      <c r="L241" s="101">
        <v>5</v>
      </c>
      <c r="M241" s="101">
        <v>64</v>
      </c>
      <c r="N241" s="101">
        <v>13</v>
      </c>
      <c r="O241" s="101">
        <v>0</v>
      </c>
    </row>
    <row r="242" spans="1:15" x14ac:dyDescent="0.25">
      <c r="A242" s="102">
        <v>41875</v>
      </c>
      <c r="B242" s="101">
        <v>9</v>
      </c>
      <c r="C242" s="101">
        <v>15</v>
      </c>
      <c r="D242" s="101">
        <v>0</v>
      </c>
      <c r="E242" s="101">
        <v>0</v>
      </c>
      <c r="F242" s="101">
        <v>6</v>
      </c>
      <c r="G242" s="101">
        <v>2</v>
      </c>
      <c r="H242" s="101">
        <v>0</v>
      </c>
      <c r="I242" s="101">
        <v>29</v>
      </c>
      <c r="J242" s="101">
        <v>3</v>
      </c>
      <c r="K242" s="101">
        <v>31</v>
      </c>
      <c r="L242" s="101">
        <v>5</v>
      </c>
      <c r="M242" s="101">
        <v>87</v>
      </c>
      <c r="N242" s="101">
        <v>13</v>
      </c>
      <c r="O242" s="101">
        <v>0</v>
      </c>
    </row>
    <row r="243" spans="1:15" x14ac:dyDescent="0.25">
      <c r="A243" s="102">
        <v>41876</v>
      </c>
      <c r="B243" s="101">
        <v>23</v>
      </c>
      <c r="C243" s="101">
        <v>25</v>
      </c>
      <c r="D243" s="101">
        <v>3</v>
      </c>
      <c r="E243" s="101">
        <v>0</v>
      </c>
      <c r="F243" s="101">
        <v>0</v>
      </c>
      <c r="G243" s="101">
        <v>0</v>
      </c>
      <c r="H243" s="101">
        <v>0</v>
      </c>
      <c r="I243" s="101">
        <v>32</v>
      </c>
      <c r="J243" s="101">
        <v>1</v>
      </c>
      <c r="K243" s="101">
        <v>36</v>
      </c>
      <c r="L243" s="101">
        <v>1</v>
      </c>
      <c r="M243" s="101">
        <v>109</v>
      </c>
      <c r="N243" s="101">
        <v>1</v>
      </c>
      <c r="O243" s="101">
        <v>0</v>
      </c>
    </row>
    <row r="244" spans="1:15" x14ac:dyDescent="0.25">
      <c r="A244" s="102">
        <v>41877</v>
      </c>
      <c r="B244" s="101">
        <v>40</v>
      </c>
      <c r="C244" s="101">
        <v>46</v>
      </c>
      <c r="D244" s="101">
        <v>0</v>
      </c>
      <c r="E244" s="101">
        <v>2</v>
      </c>
      <c r="F244" s="101">
        <v>1</v>
      </c>
      <c r="G244" s="101">
        <v>2</v>
      </c>
      <c r="H244" s="101">
        <v>0</v>
      </c>
      <c r="I244" s="101">
        <v>28</v>
      </c>
      <c r="J244" s="101">
        <v>3</v>
      </c>
      <c r="K244" s="101">
        <v>33</v>
      </c>
      <c r="L244" s="101">
        <v>2</v>
      </c>
      <c r="M244" s="101">
        <v>97</v>
      </c>
      <c r="N244" s="101">
        <v>3</v>
      </c>
      <c r="O244" s="101">
        <v>0</v>
      </c>
    </row>
    <row r="245" spans="1:15" x14ac:dyDescent="0.25">
      <c r="A245" s="102">
        <v>41878</v>
      </c>
      <c r="B245" s="101">
        <v>51</v>
      </c>
      <c r="C245" s="101">
        <v>41</v>
      </c>
      <c r="D245" s="101">
        <v>1</v>
      </c>
      <c r="E245" s="101">
        <v>5</v>
      </c>
      <c r="F245" s="101">
        <v>2</v>
      </c>
      <c r="G245" s="101">
        <v>0</v>
      </c>
      <c r="H245" s="101">
        <v>0</v>
      </c>
      <c r="I245" s="101">
        <v>27</v>
      </c>
      <c r="J245" s="101">
        <v>1</v>
      </c>
      <c r="K245" s="101">
        <v>32</v>
      </c>
      <c r="L245" s="101">
        <v>1</v>
      </c>
      <c r="M245" s="101">
        <v>94</v>
      </c>
      <c r="N245" s="101">
        <v>2</v>
      </c>
      <c r="O245" s="101">
        <v>0</v>
      </c>
    </row>
    <row r="246" spans="1:15" x14ac:dyDescent="0.25">
      <c r="A246" s="102">
        <v>41879</v>
      </c>
      <c r="B246" s="101">
        <v>24</v>
      </c>
      <c r="C246" s="101">
        <v>30</v>
      </c>
      <c r="D246" s="101">
        <v>2</v>
      </c>
      <c r="E246" s="101">
        <v>1</v>
      </c>
      <c r="F246" s="101">
        <v>3</v>
      </c>
      <c r="G246" s="101">
        <v>2</v>
      </c>
      <c r="H246" s="101">
        <v>0</v>
      </c>
      <c r="I246" s="101">
        <v>29</v>
      </c>
      <c r="J246" s="101">
        <v>3</v>
      </c>
      <c r="K246" s="101">
        <v>34</v>
      </c>
      <c r="L246" s="101">
        <v>2</v>
      </c>
      <c r="M246" s="101">
        <v>98</v>
      </c>
      <c r="N246" s="101">
        <v>5</v>
      </c>
      <c r="O246" s="101">
        <v>0</v>
      </c>
    </row>
    <row r="247" spans="1:15" x14ac:dyDescent="0.25">
      <c r="A247" s="102">
        <v>41880</v>
      </c>
      <c r="B247" s="101">
        <v>46</v>
      </c>
      <c r="C247" s="101">
        <v>40</v>
      </c>
      <c r="D247" s="101">
        <v>2</v>
      </c>
      <c r="E247" s="101">
        <v>22</v>
      </c>
      <c r="F247" s="101">
        <v>13</v>
      </c>
      <c r="G247" s="101">
        <v>7</v>
      </c>
      <c r="H247" s="101">
        <v>0</v>
      </c>
      <c r="I247" s="101">
        <v>55</v>
      </c>
      <c r="J247" s="101">
        <v>4</v>
      </c>
      <c r="K247" s="101">
        <v>120</v>
      </c>
      <c r="L247" s="101">
        <v>12</v>
      </c>
      <c r="M247" s="101">
        <v>342</v>
      </c>
      <c r="N247" s="101">
        <v>32</v>
      </c>
      <c r="O247" s="101">
        <v>0</v>
      </c>
    </row>
    <row r="248" spans="1:15" x14ac:dyDescent="0.25">
      <c r="A248" s="102">
        <v>41881</v>
      </c>
      <c r="B248" s="101">
        <v>14</v>
      </c>
      <c r="C248" s="101">
        <v>14</v>
      </c>
      <c r="D248" s="101">
        <v>0</v>
      </c>
      <c r="E248" s="101">
        <v>10</v>
      </c>
      <c r="F248" s="101">
        <v>2</v>
      </c>
      <c r="G248" s="101">
        <v>2</v>
      </c>
      <c r="H248" s="101">
        <v>0</v>
      </c>
      <c r="I248" s="101">
        <v>20</v>
      </c>
      <c r="J248" s="101">
        <v>3</v>
      </c>
      <c r="K248" s="101">
        <v>42</v>
      </c>
      <c r="L248" s="101">
        <v>6</v>
      </c>
      <c r="M248" s="101">
        <v>132</v>
      </c>
      <c r="N248" s="101">
        <v>8</v>
      </c>
      <c r="O248" s="101">
        <v>0</v>
      </c>
    </row>
    <row r="249" spans="1:15" x14ac:dyDescent="0.25">
      <c r="A249" s="102">
        <v>41882</v>
      </c>
      <c r="B249" s="101">
        <v>12</v>
      </c>
      <c r="C249" s="101">
        <v>22</v>
      </c>
      <c r="D249" s="101">
        <v>0</v>
      </c>
      <c r="E249" s="101">
        <v>4</v>
      </c>
      <c r="F249" s="101">
        <v>2</v>
      </c>
      <c r="G249" s="101">
        <v>0</v>
      </c>
      <c r="H249" s="101">
        <v>0</v>
      </c>
      <c r="I249" s="101">
        <v>27</v>
      </c>
      <c r="J249" s="101">
        <v>2</v>
      </c>
      <c r="K249" s="101">
        <v>56</v>
      </c>
      <c r="L249" s="101">
        <v>4</v>
      </c>
      <c r="M249" s="101">
        <v>176</v>
      </c>
      <c r="N249" s="101">
        <v>6</v>
      </c>
      <c r="O249" s="101">
        <v>0</v>
      </c>
    </row>
    <row r="250" spans="1:15" x14ac:dyDescent="0.25">
      <c r="A250" s="102">
        <v>41883</v>
      </c>
      <c r="B250" s="101">
        <v>42</v>
      </c>
      <c r="C250" s="101">
        <v>48</v>
      </c>
      <c r="D250" s="101">
        <v>0</v>
      </c>
      <c r="E250" s="101">
        <v>10</v>
      </c>
      <c r="F250" s="101">
        <v>0</v>
      </c>
      <c r="G250" s="101">
        <v>2</v>
      </c>
      <c r="H250" s="101">
        <v>0</v>
      </c>
      <c r="I250" s="101">
        <v>42</v>
      </c>
      <c r="J250" s="101">
        <v>2</v>
      </c>
      <c r="K250" s="101">
        <v>94</v>
      </c>
      <c r="L250" s="101">
        <v>4</v>
      </c>
      <c r="M250" s="101">
        <v>276</v>
      </c>
      <c r="N250" s="101">
        <v>6</v>
      </c>
      <c r="O250" s="101">
        <v>0</v>
      </c>
    </row>
    <row r="251" spans="1:15" x14ac:dyDescent="0.25">
      <c r="A251" s="102">
        <v>41884</v>
      </c>
      <c r="B251" s="101">
        <v>26</v>
      </c>
      <c r="C251" s="101">
        <v>54</v>
      </c>
      <c r="D251" s="101">
        <v>2</v>
      </c>
      <c r="E251" s="101">
        <v>6</v>
      </c>
      <c r="F251" s="101">
        <v>4</v>
      </c>
      <c r="G251" s="101">
        <v>4</v>
      </c>
      <c r="H251" s="101">
        <v>0</v>
      </c>
      <c r="I251" s="101">
        <v>36</v>
      </c>
      <c r="J251" s="101">
        <v>2</v>
      </c>
      <c r="K251" s="101">
        <v>82</v>
      </c>
      <c r="L251" s="101">
        <v>4</v>
      </c>
      <c r="M251" s="101">
        <v>228</v>
      </c>
      <c r="N251" s="101">
        <v>8</v>
      </c>
      <c r="O251" s="101">
        <v>0</v>
      </c>
    </row>
    <row r="252" spans="1:15" x14ac:dyDescent="0.25">
      <c r="A252" s="102">
        <v>41885</v>
      </c>
      <c r="B252" s="101">
        <v>40</v>
      </c>
      <c r="C252" s="101">
        <v>58</v>
      </c>
      <c r="D252" s="101">
        <v>0</v>
      </c>
      <c r="E252" s="101">
        <v>4</v>
      </c>
      <c r="F252" s="101">
        <v>2</v>
      </c>
      <c r="G252" s="101">
        <v>2</v>
      </c>
      <c r="H252" s="101">
        <v>0</v>
      </c>
      <c r="I252" s="101">
        <v>30</v>
      </c>
      <c r="J252" s="101">
        <v>2</v>
      </c>
      <c r="K252" s="101">
        <v>72</v>
      </c>
      <c r="L252" s="101">
        <v>2</v>
      </c>
      <c r="M252" s="101">
        <v>204</v>
      </c>
      <c r="N252" s="101">
        <v>6</v>
      </c>
      <c r="O252" s="101">
        <v>0</v>
      </c>
    </row>
    <row r="253" spans="1:15" x14ac:dyDescent="0.25">
      <c r="A253" s="102">
        <v>41886</v>
      </c>
      <c r="B253" s="101">
        <v>70</v>
      </c>
      <c r="C253" s="101">
        <v>62</v>
      </c>
      <c r="D253" s="101">
        <v>0</v>
      </c>
      <c r="E253" s="101">
        <v>8</v>
      </c>
      <c r="F253" s="101">
        <v>0</v>
      </c>
      <c r="G253" s="101">
        <v>0</v>
      </c>
      <c r="H253" s="101">
        <v>0</v>
      </c>
      <c r="I253" s="101">
        <v>31</v>
      </c>
      <c r="J253" s="101">
        <v>0</v>
      </c>
      <c r="K253" s="101">
        <v>78</v>
      </c>
      <c r="L253" s="101">
        <v>0</v>
      </c>
      <c r="M253" s="101">
        <v>232</v>
      </c>
      <c r="N253" s="101">
        <v>0</v>
      </c>
      <c r="O253" s="101">
        <v>0</v>
      </c>
    </row>
    <row r="254" spans="1:15" x14ac:dyDescent="0.25">
      <c r="A254" s="102">
        <v>41887</v>
      </c>
      <c r="B254" s="101">
        <v>56</v>
      </c>
      <c r="C254" s="101">
        <v>38</v>
      </c>
      <c r="D254" s="101">
        <v>2</v>
      </c>
      <c r="E254" s="101">
        <v>22</v>
      </c>
      <c r="F254" s="101">
        <v>16</v>
      </c>
      <c r="G254" s="101">
        <v>20</v>
      </c>
      <c r="H254" s="101">
        <v>0</v>
      </c>
      <c r="I254" s="101">
        <v>67</v>
      </c>
      <c r="J254" s="101">
        <v>8</v>
      </c>
      <c r="K254" s="101">
        <v>156</v>
      </c>
      <c r="L254" s="101">
        <v>18</v>
      </c>
      <c r="M254" s="101">
        <v>452</v>
      </c>
      <c r="N254" s="101">
        <v>44</v>
      </c>
      <c r="O254" s="101">
        <v>0</v>
      </c>
    </row>
    <row r="255" spans="1:15" x14ac:dyDescent="0.25">
      <c r="A255" s="102">
        <v>41888</v>
      </c>
      <c r="B255" s="101">
        <v>20</v>
      </c>
      <c r="C255" s="101">
        <v>28</v>
      </c>
      <c r="D255" s="101">
        <v>10</v>
      </c>
      <c r="E255" s="101">
        <v>12</v>
      </c>
      <c r="F255" s="101">
        <v>4</v>
      </c>
      <c r="G255" s="101">
        <v>10</v>
      </c>
      <c r="H255" s="101">
        <v>0</v>
      </c>
      <c r="I255" s="101">
        <v>27</v>
      </c>
      <c r="J255" s="101">
        <v>3</v>
      </c>
      <c r="K255" s="101">
        <v>56</v>
      </c>
      <c r="L255" s="101">
        <v>8</v>
      </c>
      <c r="M255" s="101">
        <v>152</v>
      </c>
      <c r="N255" s="101">
        <v>22</v>
      </c>
      <c r="O255" s="101">
        <v>0</v>
      </c>
    </row>
    <row r="256" spans="1:15" x14ac:dyDescent="0.25">
      <c r="A256" s="102">
        <v>41889</v>
      </c>
      <c r="B256" s="101">
        <v>22</v>
      </c>
      <c r="C256" s="101">
        <v>38</v>
      </c>
      <c r="D256" s="101">
        <v>0</v>
      </c>
      <c r="E256" s="101">
        <v>14</v>
      </c>
      <c r="F256" s="101">
        <v>2</v>
      </c>
      <c r="G256" s="101">
        <v>8</v>
      </c>
      <c r="H256" s="101">
        <v>0</v>
      </c>
      <c r="I256" s="101">
        <v>41</v>
      </c>
      <c r="J256" s="101">
        <v>4</v>
      </c>
      <c r="K256" s="101">
        <v>90</v>
      </c>
      <c r="L256" s="101">
        <v>12</v>
      </c>
      <c r="M256" s="101">
        <v>252</v>
      </c>
      <c r="N256" s="101">
        <v>24</v>
      </c>
      <c r="O256" s="101">
        <v>0</v>
      </c>
    </row>
    <row r="257" spans="1:15" x14ac:dyDescent="0.25">
      <c r="A257" s="102">
        <v>41890</v>
      </c>
      <c r="B257" s="101">
        <v>42</v>
      </c>
      <c r="C257" s="101">
        <v>58</v>
      </c>
      <c r="D257" s="101">
        <v>0</v>
      </c>
      <c r="E257" s="101">
        <v>0</v>
      </c>
      <c r="F257" s="101">
        <v>2</v>
      </c>
      <c r="G257" s="101">
        <v>2</v>
      </c>
      <c r="H257" s="101">
        <v>0</v>
      </c>
      <c r="I257" s="101">
        <v>51</v>
      </c>
      <c r="J257" s="101">
        <v>1</v>
      </c>
      <c r="K257" s="101">
        <v>116</v>
      </c>
      <c r="L257" s="101">
        <v>2</v>
      </c>
      <c r="M257" s="101">
        <v>334</v>
      </c>
      <c r="N257" s="101">
        <v>4</v>
      </c>
      <c r="O257" s="101">
        <v>0</v>
      </c>
    </row>
    <row r="258" spans="1:15" x14ac:dyDescent="0.25">
      <c r="A258" s="102">
        <v>41891</v>
      </c>
      <c r="B258" s="101">
        <v>76</v>
      </c>
      <c r="C258" s="101">
        <v>58</v>
      </c>
      <c r="D258" s="101">
        <v>6</v>
      </c>
      <c r="E258" s="101">
        <v>4</v>
      </c>
      <c r="F258" s="101">
        <v>0</v>
      </c>
      <c r="G258" s="101">
        <v>2</v>
      </c>
      <c r="H258" s="101">
        <v>0</v>
      </c>
      <c r="I258" s="101">
        <v>39</v>
      </c>
      <c r="J258" s="101">
        <v>1</v>
      </c>
      <c r="K258" s="101">
        <v>88</v>
      </c>
      <c r="L258" s="101">
        <v>2</v>
      </c>
      <c r="M258" s="101">
        <v>246</v>
      </c>
      <c r="N258" s="101">
        <v>2</v>
      </c>
      <c r="O258" s="101">
        <v>0</v>
      </c>
    </row>
    <row r="259" spans="1:15" x14ac:dyDescent="0.25">
      <c r="A259" s="102">
        <v>41892</v>
      </c>
      <c r="B259" s="101">
        <v>124</v>
      </c>
      <c r="C259" s="101">
        <v>126</v>
      </c>
      <c r="D259" s="101">
        <v>0</v>
      </c>
      <c r="E259" s="101">
        <v>6</v>
      </c>
      <c r="F259" s="101">
        <v>2</v>
      </c>
      <c r="G259" s="101">
        <v>0</v>
      </c>
      <c r="H259" s="101">
        <v>0</v>
      </c>
      <c r="I259" s="101">
        <v>30</v>
      </c>
      <c r="J259" s="101">
        <v>1</v>
      </c>
      <c r="K259" s="101">
        <v>72</v>
      </c>
      <c r="L259" s="101">
        <v>2</v>
      </c>
      <c r="M259" s="101">
        <v>210</v>
      </c>
      <c r="N259" s="101">
        <v>2</v>
      </c>
      <c r="O259" s="101">
        <v>0</v>
      </c>
    </row>
    <row r="260" spans="1:15" x14ac:dyDescent="0.25">
      <c r="A260" s="102">
        <v>41893</v>
      </c>
      <c r="B260" s="101">
        <v>71</v>
      </c>
      <c r="C260" s="101">
        <v>69</v>
      </c>
      <c r="D260" s="101">
        <v>3</v>
      </c>
      <c r="E260" s="101">
        <v>7</v>
      </c>
      <c r="F260" s="101">
        <v>1</v>
      </c>
      <c r="G260" s="101">
        <v>2</v>
      </c>
      <c r="H260" s="101">
        <v>0</v>
      </c>
      <c r="I260" s="101">
        <v>41</v>
      </c>
      <c r="J260" s="101">
        <v>3</v>
      </c>
      <c r="K260" s="101">
        <v>45</v>
      </c>
      <c r="L260" s="101">
        <v>2</v>
      </c>
      <c r="M260" s="101">
        <v>130</v>
      </c>
      <c r="N260" s="101">
        <v>5</v>
      </c>
      <c r="O260" s="101">
        <v>0</v>
      </c>
    </row>
    <row r="261" spans="1:15" x14ac:dyDescent="0.25">
      <c r="A261" s="102">
        <v>41894</v>
      </c>
      <c r="B261" s="101">
        <v>0</v>
      </c>
      <c r="C261" s="101">
        <v>0</v>
      </c>
      <c r="D261" s="101">
        <v>0</v>
      </c>
      <c r="E261" s="101">
        <v>0</v>
      </c>
      <c r="F261" s="101">
        <v>0</v>
      </c>
      <c r="G261" s="101">
        <v>0</v>
      </c>
      <c r="H261" s="101">
        <v>0</v>
      </c>
      <c r="I261" s="101">
        <v>0</v>
      </c>
      <c r="J261" s="101">
        <v>0</v>
      </c>
      <c r="K261" s="101">
        <v>0</v>
      </c>
      <c r="L261" s="101">
        <v>0</v>
      </c>
      <c r="M261" s="101">
        <v>0</v>
      </c>
      <c r="N261" s="101">
        <v>0</v>
      </c>
      <c r="O261" s="101">
        <v>0</v>
      </c>
    </row>
    <row r="262" spans="1:15" x14ac:dyDescent="0.25">
      <c r="A262" s="102">
        <v>41895</v>
      </c>
      <c r="B262" s="101">
        <v>0</v>
      </c>
      <c r="C262" s="101">
        <v>0</v>
      </c>
      <c r="D262" s="101">
        <v>0</v>
      </c>
      <c r="E262" s="101">
        <v>0</v>
      </c>
      <c r="F262" s="101">
        <v>0</v>
      </c>
      <c r="G262" s="101">
        <v>0</v>
      </c>
      <c r="H262" s="101">
        <v>0</v>
      </c>
      <c r="I262" s="101">
        <v>0</v>
      </c>
      <c r="J262" s="101">
        <v>0</v>
      </c>
      <c r="K262" s="101">
        <v>0</v>
      </c>
      <c r="L262" s="101">
        <v>0</v>
      </c>
      <c r="M262" s="101">
        <v>0</v>
      </c>
      <c r="N262" s="101">
        <v>0</v>
      </c>
      <c r="O262" s="101">
        <v>0</v>
      </c>
    </row>
    <row r="263" spans="1:15" x14ac:dyDescent="0.25">
      <c r="A263" s="102">
        <v>41896</v>
      </c>
      <c r="B263" s="101">
        <v>0</v>
      </c>
      <c r="C263" s="101">
        <v>0</v>
      </c>
      <c r="D263" s="101">
        <v>0</v>
      </c>
      <c r="E263" s="101">
        <v>0</v>
      </c>
      <c r="F263" s="101">
        <v>0</v>
      </c>
      <c r="G263" s="101">
        <v>0</v>
      </c>
      <c r="H263" s="101">
        <v>0</v>
      </c>
      <c r="I263" s="101">
        <v>0</v>
      </c>
      <c r="J263" s="101">
        <v>0</v>
      </c>
      <c r="K263" s="101">
        <v>0</v>
      </c>
      <c r="L263" s="101">
        <v>0</v>
      </c>
      <c r="M263" s="101">
        <v>0</v>
      </c>
      <c r="N263" s="101">
        <v>0</v>
      </c>
      <c r="O263" s="101">
        <v>0</v>
      </c>
    </row>
    <row r="264" spans="1:15" x14ac:dyDescent="0.25">
      <c r="A264" s="102">
        <v>41897</v>
      </c>
      <c r="B264" s="101">
        <v>0</v>
      </c>
      <c r="C264" s="101">
        <v>0</v>
      </c>
      <c r="D264" s="101">
        <v>0</v>
      </c>
      <c r="E264" s="101">
        <v>0</v>
      </c>
      <c r="F264" s="101">
        <v>0</v>
      </c>
      <c r="G264" s="101">
        <v>0</v>
      </c>
      <c r="H264" s="101">
        <v>0</v>
      </c>
      <c r="I264" s="101">
        <v>0</v>
      </c>
      <c r="J264" s="101">
        <v>0</v>
      </c>
      <c r="K264" s="101">
        <v>0</v>
      </c>
      <c r="L264" s="101">
        <v>0</v>
      </c>
      <c r="M264" s="101">
        <v>0</v>
      </c>
      <c r="N264" s="101">
        <v>0</v>
      </c>
      <c r="O264" s="101">
        <v>0</v>
      </c>
    </row>
    <row r="265" spans="1:15" x14ac:dyDescent="0.25">
      <c r="A265" s="102">
        <v>41898</v>
      </c>
      <c r="B265" s="101">
        <v>0</v>
      </c>
      <c r="C265" s="101">
        <v>0</v>
      </c>
      <c r="D265" s="101">
        <v>0</v>
      </c>
      <c r="E265" s="101">
        <v>0</v>
      </c>
      <c r="F265" s="101">
        <v>0</v>
      </c>
      <c r="G265" s="101">
        <v>0</v>
      </c>
      <c r="H265" s="101">
        <v>0</v>
      </c>
      <c r="I265" s="101">
        <v>0</v>
      </c>
      <c r="J265" s="101">
        <v>0</v>
      </c>
      <c r="K265" s="101">
        <v>0</v>
      </c>
      <c r="L265" s="101">
        <v>0</v>
      </c>
      <c r="M265" s="101">
        <v>0</v>
      </c>
      <c r="N265" s="101">
        <v>0</v>
      </c>
      <c r="O265" s="101">
        <v>0</v>
      </c>
    </row>
    <row r="266" spans="1:15" x14ac:dyDescent="0.25">
      <c r="A266" s="102">
        <v>41899</v>
      </c>
      <c r="B266" s="101">
        <v>0</v>
      </c>
      <c r="C266" s="101">
        <v>0</v>
      </c>
      <c r="D266" s="101">
        <v>0</v>
      </c>
      <c r="E266" s="101">
        <v>0</v>
      </c>
      <c r="F266" s="101">
        <v>0</v>
      </c>
      <c r="G266" s="101">
        <v>0</v>
      </c>
      <c r="H266" s="101">
        <v>0</v>
      </c>
      <c r="I266" s="101">
        <v>0</v>
      </c>
      <c r="J266" s="101">
        <v>0</v>
      </c>
      <c r="K266" s="101">
        <v>0</v>
      </c>
      <c r="L266" s="101">
        <v>0</v>
      </c>
      <c r="M266" s="101">
        <v>0</v>
      </c>
      <c r="N266" s="101">
        <v>0</v>
      </c>
      <c r="O266" s="101">
        <v>0</v>
      </c>
    </row>
    <row r="267" spans="1:15" x14ac:dyDescent="0.25">
      <c r="A267" s="102">
        <v>41900</v>
      </c>
      <c r="B267" s="101">
        <v>0</v>
      </c>
      <c r="C267" s="101">
        <v>0</v>
      </c>
      <c r="D267" s="101">
        <v>0</v>
      </c>
      <c r="E267" s="101">
        <v>0</v>
      </c>
      <c r="F267" s="101">
        <v>0</v>
      </c>
      <c r="G267" s="101">
        <v>0</v>
      </c>
      <c r="H267" s="101">
        <v>0</v>
      </c>
      <c r="I267" s="101">
        <v>0</v>
      </c>
      <c r="J267" s="101">
        <v>0</v>
      </c>
      <c r="K267" s="101">
        <v>0</v>
      </c>
      <c r="L267" s="101">
        <v>0</v>
      </c>
      <c r="M267" s="101">
        <v>0</v>
      </c>
      <c r="N267" s="101">
        <v>0</v>
      </c>
      <c r="O267" s="101">
        <v>0</v>
      </c>
    </row>
    <row r="268" spans="1:15" x14ac:dyDescent="0.25">
      <c r="A268" s="102">
        <v>41901</v>
      </c>
      <c r="B268" s="101">
        <v>0</v>
      </c>
      <c r="C268" s="101">
        <v>0</v>
      </c>
      <c r="D268" s="101">
        <v>0</v>
      </c>
      <c r="E268" s="101">
        <v>0</v>
      </c>
      <c r="F268" s="101">
        <v>0</v>
      </c>
      <c r="G268" s="101">
        <v>0</v>
      </c>
      <c r="H268" s="101">
        <v>0</v>
      </c>
      <c r="I268" s="101">
        <v>0</v>
      </c>
      <c r="J268" s="101">
        <v>0</v>
      </c>
      <c r="K268" s="101">
        <v>0</v>
      </c>
      <c r="L268" s="101">
        <v>0</v>
      </c>
      <c r="M268" s="101">
        <v>0</v>
      </c>
      <c r="N268" s="101">
        <v>0</v>
      </c>
      <c r="O268" s="101">
        <v>0</v>
      </c>
    </row>
    <row r="269" spans="1:15" x14ac:dyDescent="0.25">
      <c r="A269" s="102">
        <v>41902</v>
      </c>
      <c r="B269" s="101">
        <v>0</v>
      </c>
      <c r="C269" s="101">
        <v>0</v>
      </c>
      <c r="D269" s="101">
        <v>0</v>
      </c>
      <c r="E269" s="101">
        <v>0</v>
      </c>
      <c r="F269" s="101">
        <v>0</v>
      </c>
      <c r="G269" s="101">
        <v>0</v>
      </c>
      <c r="H269" s="101">
        <v>0</v>
      </c>
      <c r="I269" s="101">
        <v>0</v>
      </c>
      <c r="J269" s="101">
        <v>0</v>
      </c>
      <c r="K269" s="101">
        <v>0</v>
      </c>
      <c r="L269" s="101">
        <v>0</v>
      </c>
      <c r="M269" s="101">
        <v>0</v>
      </c>
      <c r="N269" s="101">
        <v>0</v>
      </c>
      <c r="O269" s="101">
        <v>0</v>
      </c>
    </row>
    <row r="270" spans="1:15" x14ac:dyDescent="0.25">
      <c r="A270" s="102">
        <v>41903</v>
      </c>
      <c r="B270" s="101">
        <v>0</v>
      </c>
      <c r="C270" s="101">
        <v>0</v>
      </c>
      <c r="D270" s="101">
        <v>0</v>
      </c>
      <c r="E270" s="101">
        <v>0</v>
      </c>
      <c r="F270" s="101">
        <v>0</v>
      </c>
      <c r="G270" s="101">
        <v>0</v>
      </c>
      <c r="H270" s="101">
        <v>0</v>
      </c>
      <c r="I270" s="101">
        <v>0</v>
      </c>
      <c r="J270" s="101">
        <v>0</v>
      </c>
      <c r="K270" s="101">
        <v>0</v>
      </c>
      <c r="L270" s="101">
        <v>0</v>
      </c>
      <c r="M270" s="101">
        <v>0</v>
      </c>
      <c r="N270" s="101">
        <v>0</v>
      </c>
      <c r="O270" s="101">
        <v>0</v>
      </c>
    </row>
    <row r="271" spans="1:15" x14ac:dyDescent="0.25">
      <c r="A271" s="102">
        <v>41904</v>
      </c>
      <c r="B271" s="101">
        <v>0</v>
      </c>
      <c r="C271" s="101">
        <v>0</v>
      </c>
      <c r="D271" s="101">
        <v>0</v>
      </c>
      <c r="E271" s="101">
        <v>0</v>
      </c>
      <c r="F271" s="101">
        <v>0</v>
      </c>
      <c r="G271" s="101">
        <v>0</v>
      </c>
      <c r="H271" s="101">
        <v>0</v>
      </c>
      <c r="I271" s="101">
        <v>0</v>
      </c>
      <c r="J271" s="101">
        <v>0</v>
      </c>
      <c r="K271" s="101">
        <v>0</v>
      </c>
      <c r="L271" s="101">
        <v>0</v>
      </c>
      <c r="M271" s="101">
        <v>0</v>
      </c>
      <c r="N271" s="101">
        <v>0</v>
      </c>
      <c r="O271" s="101">
        <v>0</v>
      </c>
    </row>
    <row r="272" spans="1:15" x14ac:dyDescent="0.25">
      <c r="A272" s="102">
        <v>41905</v>
      </c>
      <c r="B272" s="101">
        <v>0</v>
      </c>
      <c r="C272" s="101">
        <v>0</v>
      </c>
      <c r="D272" s="101">
        <v>0</v>
      </c>
      <c r="E272" s="101">
        <v>0</v>
      </c>
      <c r="F272" s="101">
        <v>0</v>
      </c>
      <c r="G272" s="101">
        <v>0</v>
      </c>
      <c r="H272" s="101">
        <v>0</v>
      </c>
      <c r="I272" s="101">
        <v>0</v>
      </c>
      <c r="J272" s="101">
        <v>0</v>
      </c>
      <c r="K272" s="101">
        <v>0</v>
      </c>
      <c r="L272" s="101">
        <v>0</v>
      </c>
      <c r="M272" s="101">
        <v>0</v>
      </c>
      <c r="N272" s="101">
        <v>0</v>
      </c>
      <c r="O272" s="101">
        <v>0</v>
      </c>
    </row>
    <row r="273" spans="1:15" x14ac:dyDescent="0.25">
      <c r="A273" s="102">
        <v>41906</v>
      </c>
      <c r="B273" s="101">
        <v>0</v>
      </c>
      <c r="C273" s="101">
        <v>0</v>
      </c>
      <c r="D273" s="101">
        <v>0</v>
      </c>
      <c r="E273" s="101">
        <v>0</v>
      </c>
      <c r="F273" s="101">
        <v>0</v>
      </c>
      <c r="G273" s="101">
        <v>0</v>
      </c>
      <c r="H273" s="101">
        <v>0</v>
      </c>
      <c r="I273" s="101">
        <v>0</v>
      </c>
      <c r="J273" s="101">
        <v>0</v>
      </c>
      <c r="K273" s="101">
        <v>0</v>
      </c>
      <c r="L273" s="101">
        <v>0</v>
      </c>
      <c r="M273" s="101">
        <v>0</v>
      </c>
      <c r="N273" s="101">
        <v>0</v>
      </c>
      <c r="O273" s="101">
        <v>0</v>
      </c>
    </row>
    <row r="274" spans="1:15" x14ac:dyDescent="0.25">
      <c r="A274" s="102">
        <v>41907</v>
      </c>
      <c r="B274" s="101">
        <v>0</v>
      </c>
      <c r="C274" s="101">
        <v>0</v>
      </c>
      <c r="D274" s="101">
        <v>0</v>
      </c>
      <c r="E274" s="101">
        <v>0</v>
      </c>
      <c r="F274" s="101">
        <v>0</v>
      </c>
      <c r="G274" s="101">
        <v>0</v>
      </c>
      <c r="H274" s="101">
        <v>0</v>
      </c>
      <c r="I274" s="101">
        <v>0</v>
      </c>
      <c r="J274" s="101">
        <v>0</v>
      </c>
      <c r="K274" s="101">
        <v>0</v>
      </c>
      <c r="L274" s="101">
        <v>0</v>
      </c>
      <c r="M274" s="101">
        <v>0</v>
      </c>
      <c r="N274" s="101">
        <v>0</v>
      </c>
      <c r="O274" s="101">
        <v>0</v>
      </c>
    </row>
    <row r="275" spans="1:15" x14ac:dyDescent="0.25">
      <c r="A275" s="102">
        <v>41908</v>
      </c>
      <c r="B275" s="101">
        <v>0</v>
      </c>
      <c r="C275" s="101">
        <v>0</v>
      </c>
      <c r="D275" s="101">
        <v>0</v>
      </c>
      <c r="E275" s="101">
        <v>0</v>
      </c>
      <c r="F275" s="101">
        <v>0</v>
      </c>
      <c r="G275" s="101">
        <v>0</v>
      </c>
      <c r="H275" s="101">
        <v>0</v>
      </c>
      <c r="I275" s="101">
        <v>0</v>
      </c>
      <c r="J275" s="101">
        <v>0</v>
      </c>
      <c r="K275" s="101">
        <v>0</v>
      </c>
      <c r="L275" s="101">
        <v>0</v>
      </c>
      <c r="M275" s="101">
        <v>0</v>
      </c>
      <c r="N275" s="101">
        <v>0</v>
      </c>
      <c r="O275" s="101">
        <v>0</v>
      </c>
    </row>
    <row r="276" spans="1:15" x14ac:dyDescent="0.25">
      <c r="A276" s="102">
        <v>41909</v>
      </c>
      <c r="B276" s="101">
        <v>0</v>
      </c>
      <c r="C276" s="101">
        <v>0</v>
      </c>
      <c r="D276" s="101">
        <v>0</v>
      </c>
      <c r="E276" s="101">
        <v>0</v>
      </c>
      <c r="F276" s="101">
        <v>0</v>
      </c>
      <c r="G276" s="101">
        <v>0</v>
      </c>
      <c r="H276" s="101">
        <v>0</v>
      </c>
      <c r="I276" s="101">
        <v>0</v>
      </c>
      <c r="J276" s="101">
        <v>0</v>
      </c>
      <c r="K276" s="101">
        <v>0</v>
      </c>
      <c r="L276" s="101">
        <v>0</v>
      </c>
      <c r="M276" s="101">
        <v>0</v>
      </c>
      <c r="N276" s="101">
        <v>0</v>
      </c>
      <c r="O276" s="101">
        <v>0</v>
      </c>
    </row>
    <row r="277" spans="1:15" x14ac:dyDescent="0.25">
      <c r="A277" s="102">
        <v>41910</v>
      </c>
      <c r="B277" s="101">
        <v>0</v>
      </c>
      <c r="C277" s="101">
        <v>0</v>
      </c>
      <c r="D277" s="101">
        <v>0</v>
      </c>
      <c r="E277" s="101">
        <v>0</v>
      </c>
      <c r="F277" s="101">
        <v>0</v>
      </c>
      <c r="G277" s="101">
        <v>0</v>
      </c>
      <c r="H277" s="101">
        <v>0</v>
      </c>
      <c r="I277" s="101">
        <v>0</v>
      </c>
      <c r="J277" s="101">
        <v>0</v>
      </c>
      <c r="K277" s="101">
        <v>0</v>
      </c>
      <c r="L277" s="101">
        <v>0</v>
      </c>
      <c r="M277" s="101">
        <v>0</v>
      </c>
      <c r="N277" s="101">
        <v>0</v>
      </c>
      <c r="O277" s="101">
        <v>0</v>
      </c>
    </row>
    <row r="278" spans="1:15" x14ac:dyDescent="0.25">
      <c r="A278" s="102">
        <v>41911</v>
      </c>
      <c r="B278" s="101">
        <v>0</v>
      </c>
      <c r="C278" s="101">
        <v>0</v>
      </c>
      <c r="D278" s="101">
        <v>0</v>
      </c>
      <c r="E278" s="101">
        <v>0</v>
      </c>
      <c r="F278" s="101">
        <v>0</v>
      </c>
      <c r="G278" s="101">
        <v>0</v>
      </c>
      <c r="H278" s="101">
        <v>0</v>
      </c>
      <c r="I278" s="101">
        <v>0</v>
      </c>
      <c r="J278" s="101">
        <v>0</v>
      </c>
      <c r="K278" s="101">
        <v>0</v>
      </c>
      <c r="L278" s="101">
        <v>0</v>
      </c>
      <c r="M278" s="101">
        <v>0</v>
      </c>
      <c r="N278" s="101">
        <v>0</v>
      </c>
      <c r="O278" s="101">
        <v>0</v>
      </c>
    </row>
    <row r="279" spans="1:15" x14ac:dyDescent="0.25">
      <c r="A279" s="102">
        <v>41912</v>
      </c>
      <c r="B279" s="101">
        <v>0</v>
      </c>
      <c r="C279" s="101">
        <v>0</v>
      </c>
      <c r="D279" s="101">
        <v>0</v>
      </c>
      <c r="E279" s="101">
        <v>0</v>
      </c>
      <c r="F279" s="101">
        <v>0</v>
      </c>
      <c r="G279" s="101">
        <v>0</v>
      </c>
      <c r="H279" s="101">
        <v>0</v>
      </c>
      <c r="I279" s="101">
        <v>0</v>
      </c>
      <c r="J279" s="101">
        <v>0</v>
      </c>
      <c r="K279" s="101">
        <v>0</v>
      </c>
      <c r="L279" s="101">
        <v>0</v>
      </c>
      <c r="M279" s="101">
        <v>0</v>
      </c>
      <c r="N279" s="101">
        <v>0</v>
      </c>
      <c r="O279" s="101">
        <v>0</v>
      </c>
    </row>
    <row r="280" spans="1:15" x14ac:dyDescent="0.25">
      <c r="B280" s="101">
        <v>0</v>
      </c>
      <c r="C280" s="101">
        <v>0</v>
      </c>
      <c r="D280" s="101">
        <v>0</v>
      </c>
      <c r="E280" s="101">
        <v>0</v>
      </c>
      <c r="F280" s="101">
        <v>0</v>
      </c>
      <c r="G280" s="101">
        <v>0</v>
      </c>
      <c r="H280" s="101">
        <v>0</v>
      </c>
      <c r="I280" s="101">
        <v>0</v>
      </c>
      <c r="J280" s="101">
        <v>0</v>
      </c>
      <c r="K280" s="101">
        <v>0</v>
      </c>
      <c r="L280" s="101">
        <v>0</v>
      </c>
      <c r="M280" s="101">
        <v>0</v>
      </c>
      <c r="N280" s="101">
        <v>0</v>
      </c>
      <c r="O280" s="101">
        <v>0</v>
      </c>
    </row>
    <row r="281" spans="1:15" x14ac:dyDescent="0.25">
      <c r="A281" s="102">
        <v>41913</v>
      </c>
      <c r="B281" s="101">
        <v>0</v>
      </c>
      <c r="C281" s="101">
        <v>0</v>
      </c>
      <c r="D281" s="101">
        <v>0</v>
      </c>
      <c r="E281" s="101">
        <v>0</v>
      </c>
      <c r="F281" s="101">
        <v>0</v>
      </c>
      <c r="G281" s="101">
        <v>0</v>
      </c>
      <c r="H281" s="101">
        <v>0</v>
      </c>
      <c r="I281" s="101">
        <v>0</v>
      </c>
      <c r="J281" s="101">
        <v>0</v>
      </c>
      <c r="K281" s="101">
        <v>0</v>
      </c>
      <c r="L281" s="101">
        <v>0</v>
      </c>
      <c r="M281" s="101">
        <v>0</v>
      </c>
      <c r="N281" s="101">
        <v>0</v>
      </c>
      <c r="O281" s="101">
        <v>0</v>
      </c>
    </row>
    <row r="282" spans="1:15" x14ac:dyDescent="0.25">
      <c r="A282" s="102">
        <v>41914</v>
      </c>
      <c r="B282" s="101">
        <v>0</v>
      </c>
      <c r="C282" s="101">
        <v>0</v>
      </c>
      <c r="D282" s="101">
        <v>0</v>
      </c>
      <c r="E282" s="101">
        <v>0</v>
      </c>
      <c r="F282" s="101">
        <v>0</v>
      </c>
      <c r="G282" s="101">
        <v>0</v>
      </c>
      <c r="H282" s="101">
        <v>0</v>
      </c>
      <c r="I282" s="101">
        <v>0</v>
      </c>
      <c r="J282" s="101">
        <v>0</v>
      </c>
      <c r="K282" s="101">
        <v>0</v>
      </c>
      <c r="L282" s="101">
        <v>0</v>
      </c>
      <c r="M282" s="101">
        <v>0</v>
      </c>
      <c r="N282" s="101">
        <v>0</v>
      </c>
      <c r="O282" s="101">
        <v>0</v>
      </c>
    </row>
    <row r="283" spans="1:15" x14ac:dyDescent="0.25">
      <c r="A283" s="102">
        <v>41915</v>
      </c>
      <c r="B283" s="101">
        <v>0</v>
      </c>
      <c r="C283" s="101">
        <v>0</v>
      </c>
      <c r="D283" s="101">
        <v>0</v>
      </c>
      <c r="E283" s="101">
        <v>0</v>
      </c>
      <c r="F283" s="101">
        <v>0</v>
      </c>
      <c r="G283" s="101">
        <v>0</v>
      </c>
      <c r="H283" s="101">
        <v>0</v>
      </c>
      <c r="I283" s="101">
        <v>0</v>
      </c>
      <c r="J283" s="101">
        <v>0</v>
      </c>
      <c r="K283" s="101">
        <v>0</v>
      </c>
      <c r="L283" s="101">
        <v>0</v>
      </c>
      <c r="M283" s="101">
        <v>0</v>
      </c>
      <c r="N283" s="101">
        <v>0</v>
      </c>
      <c r="O283" s="101">
        <v>0</v>
      </c>
    </row>
    <row r="284" spans="1:15" x14ac:dyDescent="0.25">
      <c r="A284" s="102">
        <v>41916</v>
      </c>
      <c r="B284" s="101">
        <v>0</v>
      </c>
      <c r="C284" s="101">
        <v>0</v>
      </c>
      <c r="D284" s="101">
        <v>0</v>
      </c>
      <c r="E284" s="101">
        <v>0</v>
      </c>
      <c r="F284" s="101">
        <v>0</v>
      </c>
      <c r="G284" s="101">
        <v>0</v>
      </c>
      <c r="H284" s="101">
        <v>0</v>
      </c>
      <c r="I284" s="101">
        <v>0</v>
      </c>
      <c r="J284" s="101">
        <v>0</v>
      </c>
      <c r="K284" s="101">
        <v>0</v>
      </c>
      <c r="L284" s="101">
        <v>0</v>
      </c>
      <c r="M284" s="101">
        <v>0</v>
      </c>
      <c r="N284" s="101">
        <v>0</v>
      </c>
      <c r="O284" s="101">
        <v>0</v>
      </c>
    </row>
    <row r="285" spans="1:15" x14ac:dyDescent="0.25">
      <c r="A285" s="102">
        <v>41917</v>
      </c>
      <c r="B285" s="101">
        <v>0</v>
      </c>
      <c r="C285" s="101">
        <v>0</v>
      </c>
      <c r="D285" s="101">
        <v>0</v>
      </c>
      <c r="E285" s="101">
        <v>0</v>
      </c>
      <c r="F285" s="101">
        <v>0</v>
      </c>
      <c r="G285" s="101">
        <v>0</v>
      </c>
      <c r="H285" s="101">
        <v>0</v>
      </c>
      <c r="I285" s="101">
        <v>0</v>
      </c>
      <c r="J285" s="101">
        <v>0</v>
      </c>
      <c r="K285" s="101">
        <v>0</v>
      </c>
      <c r="L285" s="101">
        <v>0</v>
      </c>
      <c r="M285" s="101">
        <v>0</v>
      </c>
      <c r="N285" s="101">
        <v>0</v>
      </c>
      <c r="O285" s="101">
        <v>0</v>
      </c>
    </row>
    <row r="286" spans="1:15" x14ac:dyDescent="0.25">
      <c r="A286" s="102">
        <v>41918</v>
      </c>
      <c r="B286" s="101">
        <v>0</v>
      </c>
      <c r="C286" s="101">
        <v>0</v>
      </c>
      <c r="D286" s="101">
        <v>0</v>
      </c>
      <c r="E286" s="101">
        <v>0</v>
      </c>
      <c r="F286" s="101">
        <v>0</v>
      </c>
      <c r="G286" s="101">
        <v>0</v>
      </c>
      <c r="H286" s="101">
        <v>0</v>
      </c>
      <c r="I286" s="101">
        <v>0</v>
      </c>
      <c r="J286" s="101">
        <v>0</v>
      </c>
      <c r="K286" s="101">
        <v>0</v>
      </c>
      <c r="L286" s="101">
        <v>0</v>
      </c>
      <c r="M286" s="101">
        <v>0</v>
      </c>
      <c r="N286" s="101">
        <v>0</v>
      </c>
      <c r="O286" s="101">
        <v>0</v>
      </c>
    </row>
    <row r="287" spans="1:15" x14ac:dyDescent="0.25">
      <c r="A287" s="102">
        <v>41919</v>
      </c>
      <c r="B287" s="101">
        <v>0</v>
      </c>
      <c r="C287" s="101">
        <v>0</v>
      </c>
      <c r="D287" s="101">
        <v>0</v>
      </c>
      <c r="E287" s="101">
        <v>0</v>
      </c>
      <c r="F287" s="101">
        <v>0</v>
      </c>
      <c r="G287" s="101">
        <v>0</v>
      </c>
      <c r="H287" s="101">
        <v>0</v>
      </c>
      <c r="I287" s="101">
        <v>0</v>
      </c>
      <c r="J287" s="101">
        <v>0</v>
      </c>
      <c r="K287" s="101">
        <v>0</v>
      </c>
      <c r="L287" s="101">
        <v>0</v>
      </c>
      <c r="M287" s="101">
        <v>0</v>
      </c>
      <c r="N287" s="101">
        <v>0</v>
      </c>
      <c r="O287" s="101">
        <v>0</v>
      </c>
    </row>
    <row r="288" spans="1:15" x14ac:dyDescent="0.25">
      <c r="A288" s="102">
        <v>41920</v>
      </c>
      <c r="B288" s="101">
        <v>0</v>
      </c>
      <c r="C288" s="101">
        <v>0</v>
      </c>
      <c r="D288" s="101">
        <v>0</v>
      </c>
      <c r="E288" s="101">
        <v>0</v>
      </c>
      <c r="F288" s="101">
        <v>0</v>
      </c>
      <c r="G288" s="101">
        <v>0</v>
      </c>
      <c r="H288" s="101">
        <v>0</v>
      </c>
      <c r="I288" s="101">
        <v>0</v>
      </c>
      <c r="J288" s="101">
        <v>0</v>
      </c>
      <c r="K288" s="101">
        <v>0</v>
      </c>
      <c r="L288" s="101">
        <v>0</v>
      </c>
      <c r="M288" s="101">
        <v>0</v>
      </c>
      <c r="N288" s="101">
        <v>0</v>
      </c>
      <c r="O288" s="101">
        <v>0</v>
      </c>
    </row>
    <row r="289" spans="1:15" x14ac:dyDescent="0.25">
      <c r="A289" s="102">
        <v>41921</v>
      </c>
      <c r="B289" s="101">
        <v>0</v>
      </c>
      <c r="C289" s="101">
        <v>0</v>
      </c>
      <c r="D289" s="101">
        <v>0</v>
      </c>
      <c r="E289" s="101">
        <v>0</v>
      </c>
      <c r="F289" s="101">
        <v>0</v>
      </c>
      <c r="G289" s="101">
        <v>0</v>
      </c>
      <c r="H289" s="101">
        <v>0</v>
      </c>
      <c r="I289" s="101">
        <v>0</v>
      </c>
      <c r="J289" s="101">
        <v>0</v>
      </c>
      <c r="K289" s="101">
        <v>0</v>
      </c>
      <c r="L289" s="101">
        <v>0</v>
      </c>
      <c r="M289" s="101">
        <v>0</v>
      </c>
      <c r="N289" s="101">
        <v>0</v>
      </c>
      <c r="O289" s="101">
        <v>0</v>
      </c>
    </row>
    <row r="290" spans="1:15" x14ac:dyDescent="0.25">
      <c r="A290" s="102">
        <v>41922</v>
      </c>
      <c r="B290" s="101">
        <v>0</v>
      </c>
      <c r="C290" s="101">
        <v>0</v>
      </c>
      <c r="D290" s="101">
        <v>0</v>
      </c>
      <c r="E290" s="101">
        <v>0</v>
      </c>
      <c r="F290" s="101">
        <v>0</v>
      </c>
      <c r="G290" s="101">
        <v>0</v>
      </c>
      <c r="H290" s="101">
        <v>0</v>
      </c>
      <c r="I290" s="101">
        <v>0</v>
      </c>
      <c r="J290" s="101">
        <v>0</v>
      </c>
      <c r="K290" s="101">
        <v>0</v>
      </c>
      <c r="L290" s="101">
        <v>0</v>
      </c>
      <c r="M290" s="101">
        <v>0</v>
      </c>
      <c r="N290" s="101">
        <v>0</v>
      </c>
      <c r="O290" s="101">
        <v>0</v>
      </c>
    </row>
    <row r="291" spans="1:15" x14ac:dyDescent="0.25">
      <c r="A291" s="102">
        <v>41923</v>
      </c>
      <c r="B291" s="101">
        <v>0</v>
      </c>
      <c r="C291" s="101">
        <v>0</v>
      </c>
      <c r="D291" s="101">
        <v>0</v>
      </c>
      <c r="E291" s="101">
        <v>0</v>
      </c>
      <c r="F291" s="101">
        <v>0</v>
      </c>
      <c r="G291" s="101">
        <v>0</v>
      </c>
      <c r="H291" s="101">
        <v>0</v>
      </c>
      <c r="I291" s="101">
        <v>0</v>
      </c>
      <c r="J291" s="101">
        <v>0</v>
      </c>
      <c r="K291" s="101">
        <v>0</v>
      </c>
      <c r="L291" s="101">
        <v>0</v>
      </c>
      <c r="M291" s="101">
        <v>0</v>
      </c>
      <c r="N291" s="101">
        <v>0</v>
      </c>
      <c r="O291" s="101">
        <v>0</v>
      </c>
    </row>
    <row r="292" spans="1:15" x14ac:dyDescent="0.25">
      <c r="A292" s="102">
        <v>41924</v>
      </c>
      <c r="B292" s="101">
        <v>0</v>
      </c>
      <c r="C292" s="101">
        <v>0</v>
      </c>
      <c r="D292" s="101">
        <v>0</v>
      </c>
      <c r="E292" s="101">
        <v>0</v>
      </c>
      <c r="F292" s="101">
        <v>0</v>
      </c>
      <c r="G292" s="101">
        <v>0</v>
      </c>
      <c r="H292" s="101">
        <v>0</v>
      </c>
      <c r="I292" s="101">
        <v>0</v>
      </c>
      <c r="J292" s="101">
        <v>0</v>
      </c>
      <c r="K292" s="101">
        <v>0</v>
      </c>
      <c r="L292" s="101">
        <v>0</v>
      </c>
      <c r="M292" s="101">
        <v>0</v>
      </c>
      <c r="N292" s="101">
        <v>0</v>
      </c>
      <c r="O292" s="101">
        <v>0</v>
      </c>
    </row>
    <row r="293" spans="1:15" x14ac:dyDescent="0.25">
      <c r="A293" s="102">
        <v>41925</v>
      </c>
      <c r="B293" s="101">
        <v>0</v>
      </c>
      <c r="C293" s="101">
        <v>0</v>
      </c>
      <c r="D293" s="101">
        <v>0</v>
      </c>
      <c r="E293" s="101">
        <v>0</v>
      </c>
      <c r="F293" s="101">
        <v>0</v>
      </c>
      <c r="G293" s="101">
        <v>0</v>
      </c>
      <c r="H293" s="101">
        <v>0</v>
      </c>
      <c r="I293" s="101">
        <v>0</v>
      </c>
      <c r="J293" s="101">
        <v>0</v>
      </c>
      <c r="K293" s="101">
        <v>0</v>
      </c>
      <c r="L293" s="101">
        <v>0</v>
      </c>
      <c r="M293" s="101">
        <v>0</v>
      </c>
      <c r="N293" s="101">
        <v>0</v>
      </c>
      <c r="O293" s="101">
        <v>0</v>
      </c>
    </row>
    <row r="294" spans="1:15" x14ac:dyDescent="0.25">
      <c r="A294" s="102">
        <v>41926</v>
      </c>
      <c r="B294" s="101">
        <v>0</v>
      </c>
      <c r="C294" s="101">
        <v>0</v>
      </c>
      <c r="D294" s="101">
        <v>0</v>
      </c>
      <c r="E294" s="101">
        <v>0</v>
      </c>
      <c r="F294" s="101">
        <v>0</v>
      </c>
      <c r="G294" s="101">
        <v>0</v>
      </c>
      <c r="H294" s="101">
        <v>0</v>
      </c>
      <c r="I294" s="101">
        <v>0</v>
      </c>
      <c r="J294" s="101">
        <v>0</v>
      </c>
      <c r="K294" s="101">
        <v>0</v>
      </c>
      <c r="L294" s="101">
        <v>0</v>
      </c>
      <c r="M294" s="101">
        <v>0</v>
      </c>
      <c r="N294" s="101">
        <v>0</v>
      </c>
      <c r="O294" s="101">
        <v>0</v>
      </c>
    </row>
    <row r="295" spans="1:15" x14ac:dyDescent="0.25">
      <c r="A295" s="102">
        <v>41927</v>
      </c>
      <c r="B295" s="101">
        <v>0</v>
      </c>
      <c r="C295" s="101">
        <v>0</v>
      </c>
      <c r="D295" s="101">
        <v>0</v>
      </c>
      <c r="E295" s="101">
        <v>0</v>
      </c>
      <c r="F295" s="101">
        <v>0</v>
      </c>
      <c r="G295" s="101">
        <v>0</v>
      </c>
      <c r="H295" s="101">
        <v>0</v>
      </c>
      <c r="I295" s="101">
        <v>0</v>
      </c>
      <c r="J295" s="101">
        <v>0</v>
      </c>
      <c r="K295" s="101">
        <v>0</v>
      </c>
      <c r="L295" s="101">
        <v>0</v>
      </c>
      <c r="M295" s="101">
        <v>0</v>
      </c>
      <c r="N295" s="101">
        <v>0</v>
      </c>
      <c r="O295" s="101">
        <v>0</v>
      </c>
    </row>
    <row r="296" spans="1:15" x14ac:dyDescent="0.25">
      <c r="A296" s="102">
        <v>41928</v>
      </c>
      <c r="B296" s="101">
        <v>0</v>
      </c>
      <c r="C296" s="101">
        <v>0</v>
      </c>
      <c r="D296" s="101">
        <v>0</v>
      </c>
      <c r="E296" s="101">
        <v>0</v>
      </c>
      <c r="F296" s="101">
        <v>0</v>
      </c>
      <c r="G296" s="101">
        <v>0</v>
      </c>
      <c r="H296" s="101">
        <v>0</v>
      </c>
      <c r="I296" s="101">
        <v>0</v>
      </c>
      <c r="J296" s="101">
        <v>0</v>
      </c>
      <c r="K296" s="101">
        <v>0</v>
      </c>
      <c r="L296" s="101">
        <v>0</v>
      </c>
      <c r="M296" s="101">
        <v>0</v>
      </c>
      <c r="N296" s="101">
        <v>0</v>
      </c>
      <c r="O296" s="101">
        <v>0</v>
      </c>
    </row>
    <row r="297" spans="1:15" x14ac:dyDescent="0.25">
      <c r="A297" s="102">
        <v>41929</v>
      </c>
      <c r="B297" s="101">
        <v>0</v>
      </c>
      <c r="C297" s="101">
        <v>0</v>
      </c>
      <c r="D297" s="101">
        <v>0</v>
      </c>
      <c r="E297" s="101">
        <v>0</v>
      </c>
      <c r="F297" s="101">
        <v>0</v>
      </c>
      <c r="G297" s="101">
        <v>0</v>
      </c>
      <c r="H297" s="101">
        <v>0</v>
      </c>
      <c r="I297" s="101">
        <v>0</v>
      </c>
      <c r="J297" s="101">
        <v>0</v>
      </c>
      <c r="K297" s="101">
        <v>0</v>
      </c>
      <c r="L297" s="101">
        <v>0</v>
      </c>
      <c r="M297" s="101">
        <v>0</v>
      </c>
      <c r="N297" s="101">
        <v>0</v>
      </c>
      <c r="O297" s="101">
        <v>0</v>
      </c>
    </row>
    <row r="298" spans="1:15" x14ac:dyDescent="0.25">
      <c r="A298" s="102">
        <v>41930</v>
      </c>
      <c r="B298" s="101">
        <v>0</v>
      </c>
      <c r="C298" s="101">
        <v>0</v>
      </c>
      <c r="D298" s="101">
        <v>0</v>
      </c>
      <c r="E298" s="101">
        <v>0</v>
      </c>
      <c r="F298" s="101">
        <v>0</v>
      </c>
      <c r="G298" s="101">
        <v>0</v>
      </c>
      <c r="H298" s="101">
        <v>0</v>
      </c>
      <c r="I298" s="101">
        <v>0</v>
      </c>
      <c r="J298" s="101">
        <v>0</v>
      </c>
      <c r="K298" s="101">
        <v>0</v>
      </c>
      <c r="L298" s="101">
        <v>0</v>
      </c>
      <c r="M298" s="101">
        <v>0</v>
      </c>
      <c r="N298" s="101">
        <v>0</v>
      </c>
      <c r="O298" s="101">
        <v>0</v>
      </c>
    </row>
    <row r="299" spans="1:15" x14ac:dyDescent="0.25">
      <c r="A299" s="102">
        <v>41931</v>
      </c>
      <c r="B299" s="101">
        <v>0</v>
      </c>
      <c r="C299" s="101">
        <v>0</v>
      </c>
      <c r="D299" s="101">
        <v>0</v>
      </c>
      <c r="E299" s="101">
        <v>0</v>
      </c>
      <c r="F299" s="101">
        <v>0</v>
      </c>
      <c r="G299" s="101">
        <v>0</v>
      </c>
      <c r="H299" s="101">
        <v>0</v>
      </c>
      <c r="I299" s="101">
        <v>0</v>
      </c>
      <c r="J299" s="101">
        <v>0</v>
      </c>
      <c r="K299" s="101">
        <v>0</v>
      </c>
      <c r="L299" s="101">
        <v>0</v>
      </c>
      <c r="M299" s="101">
        <v>0</v>
      </c>
      <c r="N299" s="101">
        <v>0</v>
      </c>
      <c r="O299" s="101">
        <v>0</v>
      </c>
    </row>
    <row r="300" spans="1:15" x14ac:dyDescent="0.25">
      <c r="A300" s="102">
        <v>41932</v>
      </c>
      <c r="B300" s="101">
        <v>0</v>
      </c>
      <c r="C300" s="101">
        <v>0</v>
      </c>
      <c r="D300" s="101">
        <v>0</v>
      </c>
      <c r="E300" s="101">
        <v>0</v>
      </c>
      <c r="F300" s="101">
        <v>0</v>
      </c>
      <c r="G300" s="101">
        <v>0</v>
      </c>
      <c r="H300" s="101">
        <v>0</v>
      </c>
      <c r="I300" s="101">
        <v>0</v>
      </c>
      <c r="J300" s="101">
        <v>0</v>
      </c>
      <c r="K300" s="101">
        <v>0</v>
      </c>
      <c r="L300" s="101">
        <v>0</v>
      </c>
      <c r="M300" s="101">
        <v>0</v>
      </c>
      <c r="N300" s="101">
        <v>0</v>
      </c>
      <c r="O300" s="101">
        <v>0</v>
      </c>
    </row>
    <row r="301" spans="1:15" x14ac:dyDescent="0.25">
      <c r="A301" s="102">
        <v>41933</v>
      </c>
      <c r="B301" s="101">
        <v>0</v>
      </c>
      <c r="C301" s="101">
        <v>0</v>
      </c>
      <c r="D301" s="101">
        <v>0</v>
      </c>
      <c r="E301" s="101">
        <v>0</v>
      </c>
      <c r="F301" s="101">
        <v>0</v>
      </c>
      <c r="G301" s="101">
        <v>0</v>
      </c>
      <c r="H301" s="101">
        <v>0</v>
      </c>
      <c r="I301" s="101">
        <v>0</v>
      </c>
      <c r="J301" s="101">
        <v>0</v>
      </c>
      <c r="K301" s="101">
        <v>0</v>
      </c>
      <c r="L301" s="101">
        <v>0</v>
      </c>
      <c r="M301" s="101">
        <v>0</v>
      </c>
      <c r="N301" s="101">
        <v>0</v>
      </c>
      <c r="O301" s="101">
        <v>0</v>
      </c>
    </row>
    <row r="302" spans="1:15" x14ac:dyDescent="0.25">
      <c r="A302" s="102">
        <v>41934</v>
      </c>
      <c r="B302" s="101">
        <v>0</v>
      </c>
      <c r="C302" s="101">
        <v>0</v>
      </c>
      <c r="D302" s="101">
        <v>0</v>
      </c>
      <c r="E302" s="101">
        <v>0</v>
      </c>
      <c r="F302" s="101">
        <v>0</v>
      </c>
      <c r="G302" s="101">
        <v>0</v>
      </c>
      <c r="H302" s="101">
        <v>0</v>
      </c>
      <c r="I302" s="101">
        <v>0</v>
      </c>
      <c r="J302" s="101">
        <v>0</v>
      </c>
      <c r="K302" s="101">
        <v>0</v>
      </c>
      <c r="L302" s="101">
        <v>0</v>
      </c>
      <c r="M302" s="101">
        <v>0</v>
      </c>
      <c r="N302" s="101">
        <v>0</v>
      </c>
      <c r="O302" s="101">
        <v>0</v>
      </c>
    </row>
    <row r="303" spans="1:15" x14ac:dyDescent="0.25">
      <c r="A303" s="102">
        <v>41935</v>
      </c>
      <c r="B303" s="101">
        <v>0</v>
      </c>
      <c r="C303" s="101">
        <v>0</v>
      </c>
      <c r="D303" s="101">
        <v>0</v>
      </c>
      <c r="E303" s="101">
        <v>0</v>
      </c>
      <c r="F303" s="101">
        <v>0</v>
      </c>
      <c r="G303" s="101">
        <v>0</v>
      </c>
      <c r="H303" s="101">
        <v>0</v>
      </c>
      <c r="I303" s="101">
        <v>0</v>
      </c>
      <c r="J303" s="101">
        <v>0</v>
      </c>
      <c r="K303" s="101">
        <v>0</v>
      </c>
      <c r="L303" s="101">
        <v>0</v>
      </c>
      <c r="M303" s="101">
        <v>0</v>
      </c>
      <c r="N303" s="101">
        <v>0</v>
      </c>
      <c r="O303" s="101">
        <v>0</v>
      </c>
    </row>
    <row r="304" spans="1:15" x14ac:dyDescent="0.25">
      <c r="A304" s="102">
        <v>41936</v>
      </c>
      <c r="B304" s="101">
        <v>0</v>
      </c>
      <c r="C304" s="101">
        <v>0</v>
      </c>
      <c r="D304" s="101">
        <v>0</v>
      </c>
      <c r="E304" s="101">
        <v>0</v>
      </c>
      <c r="F304" s="101">
        <v>0</v>
      </c>
      <c r="G304" s="101">
        <v>0</v>
      </c>
      <c r="H304" s="101">
        <v>0</v>
      </c>
      <c r="I304" s="101">
        <v>0</v>
      </c>
      <c r="J304" s="101">
        <v>0</v>
      </c>
      <c r="K304" s="101">
        <v>0</v>
      </c>
      <c r="L304" s="101">
        <v>0</v>
      </c>
      <c r="M304" s="101">
        <v>0</v>
      </c>
      <c r="N304" s="101">
        <v>0</v>
      </c>
      <c r="O304" s="101">
        <v>0</v>
      </c>
    </row>
    <row r="305" spans="1:15" x14ac:dyDescent="0.25">
      <c r="A305" s="102">
        <v>41937</v>
      </c>
      <c r="B305" s="101">
        <v>0</v>
      </c>
      <c r="C305" s="101">
        <v>0</v>
      </c>
      <c r="D305" s="101">
        <v>0</v>
      </c>
      <c r="E305" s="101">
        <v>0</v>
      </c>
      <c r="F305" s="101">
        <v>0</v>
      </c>
      <c r="G305" s="101">
        <v>0</v>
      </c>
      <c r="H305" s="101">
        <v>0</v>
      </c>
      <c r="I305" s="101">
        <v>0</v>
      </c>
      <c r="J305" s="101">
        <v>0</v>
      </c>
      <c r="K305" s="101">
        <v>0</v>
      </c>
      <c r="L305" s="101">
        <v>0</v>
      </c>
      <c r="M305" s="101">
        <v>0</v>
      </c>
      <c r="N305" s="101">
        <v>0</v>
      </c>
      <c r="O305" s="101">
        <v>0</v>
      </c>
    </row>
    <row r="306" spans="1:15" x14ac:dyDescent="0.25">
      <c r="A306" s="102">
        <v>41938</v>
      </c>
      <c r="B306" s="101">
        <v>0</v>
      </c>
      <c r="C306" s="101">
        <v>0</v>
      </c>
      <c r="D306" s="101">
        <v>0</v>
      </c>
      <c r="E306" s="101">
        <v>0</v>
      </c>
      <c r="F306" s="101">
        <v>0</v>
      </c>
      <c r="G306" s="101">
        <v>0</v>
      </c>
      <c r="H306" s="101">
        <v>0</v>
      </c>
      <c r="I306" s="101">
        <v>0</v>
      </c>
      <c r="J306" s="101">
        <v>0</v>
      </c>
      <c r="K306" s="101">
        <v>0</v>
      </c>
      <c r="L306" s="101">
        <v>0</v>
      </c>
      <c r="M306" s="101">
        <v>0</v>
      </c>
      <c r="N306" s="101">
        <v>0</v>
      </c>
      <c r="O306" s="101">
        <v>0</v>
      </c>
    </row>
    <row r="307" spans="1:15" x14ac:dyDescent="0.25">
      <c r="A307" s="102">
        <v>41939</v>
      </c>
      <c r="B307" s="101">
        <v>0</v>
      </c>
      <c r="C307" s="101">
        <v>0</v>
      </c>
      <c r="D307" s="101">
        <v>0</v>
      </c>
      <c r="E307" s="101">
        <v>0</v>
      </c>
      <c r="F307" s="101">
        <v>0</v>
      </c>
      <c r="G307" s="101">
        <v>0</v>
      </c>
      <c r="H307" s="101">
        <v>0</v>
      </c>
      <c r="I307" s="101">
        <v>0</v>
      </c>
      <c r="J307" s="101">
        <v>0</v>
      </c>
      <c r="K307" s="101">
        <v>0</v>
      </c>
      <c r="L307" s="101">
        <v>0</v>
      </c>
      <c r="M307" s="101">
        <v>0</v>
      </c>
      <c r="N307" s="101">
        <v>0</v>
      </c>
      <c r="O307" s="101">
        <v>0</v>
      </c>
    </row>
    <row r="308" spans="1:15" x14ac:dyDescent="0.25">
      <c r="A308" s="102">
        <v>41940</v>
      </c>
      <c r="B308" s="101">
        <v>0</v>
      </c>
      <c r="C308" s="101">
        <v>0</v>
      </c>
      <c r="D308" s="101">
        <v>0</v>
      </c>
      <c r="E308" s="101">
        <v>0</v>
      </c>
      <c r="F308" s="101">
        <v>0</v>
      </c>
      <c r="G308" s="101">
        <v>0</v>
      </c>
      <c r="H308" s="101">
        <v>0</v>
      </c>
      <c r="I308" s="101">
        <v>0</v>
      </c>
      <c r="J308" s="101">
        <v>0</v>
      </c>
      <c r="K308" s="101">
        <v>0</v>
      </c>
      <c r="L308" s="101">
        <v>0</v>
      </c>
      <c r="M308" s="101">
        <v>0</v>
      </c>
      <c r="N308" s="101">
        <v>0</v>
      </c>
      <c r="O308" s="101">
        <v>0</v>
      </c>
    </row>
    <row r="309" spans="1:15" x14ac:dyDescent="0.25">
      <c r="A309" s="102">
        <v>41941</v>
      </c>
      <c r="B309" s="101">
        <v>0</v>
      </c>
      <c r="C309" s="101">
        <v>0</v>
      </c>
      <c r="D309" s="101">
        <v>0</v>
      </c>
      <c r="E309" s="101">
        <v>0</v>
      </c>
      <c r="F309" s="101">
        <v>0</v>
      </c>
      <c r="G309" s="101">
        <v>0</v>
      </c>
      <c r="H309" s="101">
        <v>0</v>
      </c>
      <c r="I309" s="101">
        <v>0</v>
      </c>
      <c r="J309" s="101">
        <v>0</v>
      </c>
      <c r="K309" s="101">
        <v>0</v>
      </c>
      <c r="L309" s="101">
        <v>0</v>
      </c>
      <c r="M309" s="101">
        <v>0</v>
      </c>
      <c r="N309" s="101">
        <v>0</v>
      </c>
      <c r="O309" s="101">
        <v>0</v>
      </c>
    </row>
    <row r="310" spans="1:15" x14ac:dyDescent="0.25">
      <c r="A310" s="102">
        <v>41942</v>
      </c>
      <c r="B310" s="101">
        <v>0</v>
      </c>
      <c r="C310" s="101">
        <v>0</v>
      </c>
      <c r="D310" s="101">
        <v>0</v>
      </c>
      <c r="E310" s="101">
        <v>0</v>
      </c>
      <c r="F310" s="101">
        <v>0</v>
      </c>
      <c r="G310" s="101">
        <v>0</v>
      </c>
      <c r="H310" s="101">
        <v>0</v>
      </c>
      <c r="I310" s="101">
        <v>0</v>
      </c>
      <c r="J310" s="101">
        <v>0</v>
      </c>
      <c r="K310" s="101">
        <v>0</v>
      </c>
      <c r="L310" s="101">
        <v>0</v>
      </c>
      <c r="M310" s="101">
        <v>0</v>
      </c>
      <c r="N310" s="101">
        <v>0</v>
      </c>
      <c r="O310" s="101">
        <v>0</v>
      </c>
    </row>
    <row r="311" spans="1:15" x14ac:dyDescent="0.25">
      <c r="A311" s="102">
        <v>41943</v>
      </c>
      <c r="B311" s="101">
        <v>0</v>
      </c>
      <c r="C311" s="101">
        <v>0</v>
      </c>
      <c r="D311" s="101">
        <v>0</v>
      </c>
      <c r="E311" s="101">
        <v>0</v>
      </c>
      <c r="F311" s="101">
        <v>0</v>
      </c>
      <c r="G311" s="101">
        <v>0</v>
      </c>
      <c r="H311" s="101">
        <v>0</v>
      </c>
      <c r="I311" s="101">
        <v>0</v>
      </c>
      <c r="J311" s="101">
        <v>0</v>
      </c>
      <c r="K311" s="101">
        <v>0</v>
      </c>
      <c r="L311" s="101">
        <v>0</v>
      </c>
      <c r="M311" s="101">
        <v>0</v>
      </c>
      <c r="N311" s="101">
        <v>0</v>
      </c>
      <c r="O311" s="101">
        <v>0</v>
      </c>
    </row>
    <row r="312" spans="1:15" x14ac:dyDescent="0.25">
      <c r="A312" s="102">
        <v>41944</v>
      </c>
      <c r="B312" s="101">
        <v>0</v>
      </c>
      <c r="C312" s="101">
        <v>0</v>
      </c>
      <c r="D312" s="101">
        <v>0</v>
      </c>
      <c r="E312" s="101">
        <v>0</v>
      </c>
      <c r="F312" s="101">
        <v>0</v>
      </c>
      <c r="G312" s="101">
        <v>0</v>
      </c>
      <c r="H312" s="101">
        <v>0</v>
      </c>
      <c r="I312" s="101">
        <v>0</v>
      </c>
      <c r="J312" s="101">
        <v>0</v>
      </c>
      <c r="K312" s="101">
        <v>0</v>
      </c>
      <c r="L312" s="101">
        <v>0</v>
      </c>
      <c r="M312" s="101">
        <v>0</v>
      </c>
      <c r="N312" s="101">
        <v>0</v>
      </c>
      <c r="O312" s="101">
        <v>0</v>
      </c>
    </row>
    <row r="313" spans="1:15" x14ac:dyDescent="0.25">
      <c r="A313" s="102">
        <v>41945</v>
      </c>
      <c r="B313" s="101">
        <v>0</v>
      </c>
      <c r="C313" s="101">
        <v>0</v>
      </c>
      <c r="D313" s="101">
        <v>0</v>
      </c>
      <c r="E313" s="101">
        <v>0</v>
      </c>
      <c r="F313" s="101">
        <v>0</v>
      </c>
      <c r="G313" s="101">
        <v>0</v>
      </c>
      <c r="H313" s="101">
        <v>0</v>
      </c>
      <c r="I313" s="101">
        <v>0</v>
      </c>
      <c r="J313" s="101">
        <v>0</v>
      </c>
      <c r="K313" s="101">
        <v>0</v>
      </c>
      <c r="L313" s="101">
        <v>0</v>
      </c>
      <c r="M313" s="101">
        <v>0</v>
      </c>
      <c r="N313" s="101">
        <v>0</v>
      </c>
      <c r="O313" s="101">
        <v>0</v>
      </c>
    </row>
    <row r="314" spans="1:15" x14ac:dyDescent="0.25">
      <c r="A314" s="102">
        <v>41946</v>
      </c>
      <c r="B314" s="101">
        <v>0</v>
      </c>
      <c r="C314" s="101">
        <v>0</v>
      </c>
      <c r="D314" s="101">
        <v>0</v>
      </c>
      <c r="E314" s="101">
        <v>0</v>
      </c>
      <c r="F314" s="101">
        <v>0</v>
      </c>
      <c r="G314" s="101">
        <v>0</v>
      </c>
      <c r="H314" s="101">
        <v>0</v>
      </c>
      <c r="I314" s="101">
        <v>0</v>
      </c>
      <c r="J314" s="101">
        <v>0</v>
      </c>
      <c r="K314" s="101">
        <v>0</v>
      </c>
      <c r="L314" s="101">
        <v>0</v>
      </c>
      <c r="M314" s="101">
        <v>0</v>
      </c>
      <c r="N314" s="101">
        <v>0</v>
      </c>
      <c r="O314" s="101">
        <v>0</v>
      </c>
    </row>
    <row r="315" spans="1:15" x14ac:dyDescent="0.25">
      <c r="A315" s="102">
        <v>41947</v>
      </c>
      <c r="B315" s="101">
        <v>0</v>
      </c>
      <c r="C315" s="101">
        <v>0</v>
      </c>
      <c r="D315" s="101">
        <v>0</v>
      </c>
      <c r="E315" s="101">
        <v>0</v>
      </c>
      <c r="F315" s="101">
        <v>0</v>
      </c>
      <c r="G315" s="101">
        <v>0</v>
      </c>
      <c r="H315" s="101">
        <v>0</v>
      </c>
      <c r="I315" s="101">
        <v>0</v>
      </c>
      <c r="J315" s="101">
        <v>0</v>
      </c>
      <c r="K315" s="101">
        <v>0</v>
      </c>
      <c r="L315" s="101">
        <v>0</v>
      </c>
      <c r="M315" s="101">
        <v>0</v>
      </c>
      <c r="N315" s="101">
        <v>0</v>
      </c>
      <c r="O315" s="101">
        <v>0</v>
      </c>
    </row>
    <row r="316" spans="1:15" x14ac:dyDescent="0.25">
      <c r="A316" s="102">
        <v>41948</v>
      </c>
      <c r="B316" s="101">
        <v>0</v>
      </c>
      <c r="C316" s="101">
        <v>0</v>
      </c>
      <c r="D316" s="101">
        <v>0</v>
      </c>
      <c r="E316" s="101">
        <v>0</v>
      </c>
      <c r="F316" s="101">
        <v>0</v>
      </c>
      <c r="G316" s="101">
        <v>0</v>
      </c>
      <c r="H316" s="101">
        <v>0</v>
      </c>
      <c r="I316" s="101">
        <v>0</v>
      </c>
      <c r="J316" s="101">
        <v>0</v>
      </c>
      <c r="K316" s="101">
        <v>0</v>
      </c>
      <c r="L316" s="101">
        <v>0</v>
      </c>
      <c r="M316" s="101">
        <v>0</v>
      </c>
      <c r="N316" s="101">
        <v>0</v>
      </c>
      <c r="O316" s="101">
        <v>0</v>
      </c>
    </row>
    <row r="317" spans="1:15" x14ac:dyDescent="0.25">
      <c r="A317" s="102">
        <v>41949</v>
      </c>
      <c r="B317" s="101">
        <v>0</v>
      </c>
      <c r="C317" s="101">
        <v>0</v>
      </c>
      <c r="D317" s="101">
        <v>0</v>
      </c>
      <c r="E317" s="101">
        <v>0</v>
      </c>
      <c r="F317" s="101">
        <v>0</v>
      </c>
      <c r="G317" s="101">
        <v>0</v>
      </c>
      <c r="H317" s="101">
        <v>0</v>
      </c>
      <c r="I317" s="101">
        <v>0</v>
      </c>
      <c r="J317" s="101">
        <v>0</v>
      </c>
      <c r="K317" s="101">
        <v>0</v>
      </c>
      <c r="L317" s="101">
        <v>0</v>
      </c>
      <c r="M317" s="101">
        <v>0</v>
      </c>
      <c r="N317" s="101">
        <v>0</v>
      </c>
      <c r="O317" s="101">
        <v>0</v>
      </c>
    </row>
    <row r="318" spans="1:15" x14ac:dyDescent="0.25">
      <c r="A318" s="102">
        <v>41950</v>
      </c>
      <c r="B318" s="101">
        <v>0</v>
      </c>
      <c r="C318" s="101">
        <v>0</v>
      </c>
      <c r="D318" s="101">
        <v>0</v>
      </c>
      <c r="E318" s="101">
        <v>0</v>
      </c>
      <c r="F318" s="101">
        <v>0</v>
      </c>
      <c r="G318" s="101">
        <v>0</v>
      </c>
      <c r="H318" s="101">
        <v>0</v>
      </c>
      <c r="I318" s="101">
        <v>0</v>
      </c>
      <c r="J318" s="101">
        <v>0</v>
      </c>
      <c r="K318" s="101">
        <v>0</v>
      </c>
      <c r="L318" s="101">
        <v>0</v>
      </c>
      <c r="M318" s="101">
        <v>0</v>
      </c>
      <c r="N318" s="101">
        <v>0</v>
      </c>
      <c r="O318" s="101">
        <v>0</v>
      </c>
    </row>
    <row r="319" spans="1:15" x14ac:dyDescent="0.25">
      <c r="A319" s="102">
        <v>41951</v>
      </c>
      <c r="B319" s="101">
        <v>0</v>
      </c>
      <c r="C319" s="101">
        <v>0</v>
      </c>
      <c r="D319" s="101">
        <v>0</v>
      </c>
      <c r="E319" s="101">
        <v>0</v>
      </c>
      <c r="F319" s="101">
        <v>0</v>
      </c>
      <c r="G319" s="101">
        <v>0</v>
      </c>
      <c r="H319" s="101">
        <v>0</v>
      </c>
      <c r="I319" s="101">
        <v>0</v>
      </c>
      <c r="J319" s="101">
        <v>0</v>
      </c>
      <c r="K319" s="101">
        <v>0</v>
      </c>
      <c r="L319" s="101">
        <v>0</v>
      </c>
      <c r="M319" s="101">
        <v>0</v>
      </c>
      <c r="N319" s="101">
        <v>0</v>
      </c>
      <c r="O319" s="101">
        <v>0</v>
      </c>
    </row>
    <row r="320" spans="1:15" x14ac:dyDescent="0.25">
      <c r="A320" s="102">
        <v>41952</v>
      </c>
      <c r="B320" s="101">
        <v>0</v>
      </c>
      <c r="C320" s="101">
        <v>0</v>
      </c>
      <c r="D320" s="101">
        <v>0</v>
      </c>
      <c r="E320" s="101">
        <v>0</v>
      </c>
      <c r="F320" s="101">
        <v>0</v>
      </c>
      <c r="G320" s="101">
        <v>0</v>
      </c>
      <c r="H320" s="101">
        <v>0</v>
      </c>
      <c r="I320" s="101">
        <v>0</v>
      </c>
      <c r="J320" s="101">
        <v>0</v>
      </c>
      <c r="K320" s="101">
        <v>0</v>
      </c>
      <c r="L320" s="101">
        <v>0</v>
      </c>
      <c r="M320" s="101">
        <v>0</v>
      </c>
      <c r="N320" s="101">
        <v>0</v>
      </c>
      <c r="O320" s="101">
        <v>0</v>
      </c>
    </row>
    <row r="321" spans="1:15" x14ac:dyDescent="0.25">
      <c r="A321" s="102">
        <v>41953</v>
      </c>
      <c r="B321" s="101">
        <v>0</v>
      </c>
      <c r="C321" s="101">
        <v>0</v>
      </c>
      <c r="D321" s="101">
        <v>0</v>
      </c>
      <c r="E321" s="101">
        <v>0</v>
      </c>
      <c r="F321" s="101">
        <v>0</v>
      </c>
      <c r="G321" s="101">
        <v>0</v>
      </c>
      <c r="H321" s="101">
        <v>0</v>
      </c>
      <c r="I321" s="101">
        <v>0</v>
      </c>
      <c r="J321" s="101">
        <v>0</v>
      </c>
      <c r="K321" s="101">
        <v>0</v>
      </c>
      <c r="L321" s="101">
        <v>0</v>
      </c>
      <c r="M321" s="101">
        <v>0</v>
      </c>
      <c r="N321" s="101">
        <v>0</v>
      </c>
      <c r="O321" s="101">
        <v>0</v>
      </c>
    </row>
    <row r="322" spans="1:15" x14ac:dyDescent="0.25">
      <c r="A322" s="102">
        <v>41954</v>
      </c>
      <c r="B322" s="101">
        <v>0</v>
      </c>
      <c r="C322" s="101">
        <v>0</v>
      </c>
      <c r="D322" s="101">
        <v>0</v>
      </c>
      <c r="E322" s="101">
        <v>0</v>
      </c>
      <c r="F322" s="101">
        <v>0</v>
      </c>
      <c r="G322" s="101">
        <v>0</v>
      </c>
      <c r="H322" s="101">
        <v>0</v>
      </c>
      <c r="I322" s="101">
        <v>0</v>
      </c>
      <c r="J322" s="101">
        <v>0</v>
      </c>
      <c r="K322" s="101">
        <v>0</v>
      </c>
      <c r="L322" s="101">
        <v>0</v>
      </c>
      <c r="M322" s="101">
        <v>0</v>
      </c>
      <c r="N322" s="101">
        <v>0</v>
      </c>
      <c r="O322" s="101">
        <v>0</v>
      </c>
    </row>
    <row r="323" spans="1:15" x14ac:dyDescent="0.25">
      <c r="A323" s="102">
        <v>41955</v>
      </c>
      <c r="B323" s="101">
        <v>0</v>
      </c>
      <c r="C323" s="101">
        <v>0</v>
      </c>
      <c r="D323" s="101">
        <v>0</v>
      </c>
      <c r="E323" s="101">
        <v>0</v>
      </c>
      <c r="F323" s="101">
        <v>0</v>
      </c>
      <c r="G323" s="101">
        <v>0</v>
      </c>
      <c r="H323" s="101">
        <v>0</v>
      </c>
      <c r="I323" s="101">
        <v>0</v>
      </c>
      <c r="J323" s="101">
        <v>0</v>
      </c>
      <c r="K323" s="101">
        <v>0</v>
      </c>
      <c r="L323" s="101">
        <v>0</v>
      </c>
      <c r="M323" s="101">
        <v>0</v>
      </c>
      <c r="N323" s="101">
        <v>0</v>
      </c>
      <c r="O323" s="101">
        <v>0</v>
      </c>
    </row>
    <row r="324" spans="1:15" x14ac:dyDescent="0.25">
      <c r="A324" s="102">
        <v>41956</v>
      </c>
      <c r="B324" s="101">
        <v>0</v>
      </c>
      <c r="C324" s="101">
        <v>0</v>
      </c>
      <c r="D324" s="101">
        <v>0</v>
      </c>
      <c r="E324" s="101">
        <v>0</v>
      </c>
      <c r="F324" s="101">
        <v>0</v>
      </c>
      <c r="G324" s="101">
        <v>0</v>
      </c>
      <c r="H324" s="101">
        <v>0</v>
      </c>
      <c r="I324" s="101">
        <v>0</v>
      </c>
      <c r="J324" s="101">
        <v>0</v>
      </c>
      <c r="K324" s="101">
        <v>0</v>
      </c>
      <c r="L324" s="101">
        <v>0</v>
      </c>
      <c r="M324" s="101">
        <v>0</v>
      </c>
      <c r="N324" s="101">
        <v>0</v>
      </c>
      <c r="O324" s="101">
        <v>0</v>
      </c>
    </row>
    <row r="325" spans="1:15" x14ac:dyDescent="0.25">
      <c r="A325" s="102">
        <v>41957</v>
      </c>
      <c r="B325" s="101">
        <v>0</v>
      </c>
      <c r="C325" s="101">
        <v>0</v>
      </c>
      <c r="D325" s="101">
        <v>0</v>
      </c>
      <c r="E325" s="101">
        <v>0</v>
      </c>
      <c r="F325" s="101">
        <v>0</v>
      </c>
      <c r="G325" s="101">
        <v>0</v>
      </c>
      <c r="H325" s="101">
        <v>0</v>
      </c>
      <c r="I325" s="101">
        <v>0</v>
      </c>
      <c r="J325" s="101">
        <v>0</v>
      </c>
      <c r="K325" s="101">
        <v>0</v>
      </c>
      <c r="L325" s="101">
        <v>0</v>
      </c>
      <c r="M325" s="101">
        <v>0</v>
      </c>
      <c r="N325" s="101">
        <v>0</v>
      </c>
      <c r="O325" s="101">
        <v>0</v>
      </c>
    </row>
    <row r="326" spans="1:15" x14ac:dyDescent="0.25">
      <c r="A326" s="102">
        <v>41958</v>
      </c>
      <c r="B326" s="101">
        <v>0</v>
      </c>
      <c r="C326" s="101">
        <v>0</v>
      </c>
      <c r="D326" s="101">
        <v>0</v>
      </c>
      <c r="E326" s="101">
        <v>0</v>
      </c>
      <c r="F326" s="101">
        <v>0</v>
      </c>
      <c r="G326" s="101">
        <v>0</v>
      </c>
      <c r="H326" s="101">
        <v>0</v>
      </c>
      <c r="I326" s="101">
        <v>0</v>
      </c>
      <c r="J326" s="101">
        <v>0</v>
      </c>
      <c r="K326" s="101">
        <v>0</v>
      </c>
      <c r="L326" s="101">
        <v>0</v>
      </c>
      <c r="M326" s="101">
        <v>0</v>
      </c>
      <c r="N326" s="101">
        <v>0</v>
      </c>
      <c r="O326" s="101">
        <v>0</v>
      </c>
    </row>
    <row r="327" spans="1:15" x14ac:dyDescent="0.25">
      <c r="A327" s="102">
        <v>41959</v>
      </c>
      <c r="B327" s="101">
        <v>0</v>
      </c>
      <c r="C327" s="101">
        <v>0</v>
      </c>
      <c r="D327" s="101">
        <v>0</v>
      </c>
      <c r="E327" s="101">
        <v>0</v>
      </c>
      <c r="F327" s="101">
        <v>0</v>
      </c>
      <c r="G327" s="101">
        <v>0</v>
      </c>
      <c r="H327" s="101">
        <v>0</v>
      </c>
      <c r="I327" s="101">
        <v>0</v>
      </c>
      <c r="J327" s="101">
        <v>0</v>
      </c>
      <c r="K327" s="101">
        <v>0</v>
      </c>
      <c r="L327" s="101">
        <v>0</v>
      </c>
      <c r="M327" s="101">
        <v>0</v>
      </c>
      <c r="N327" s="101">
        <v>0</v>
      </c>
      <c r="O327" s="101">
        <v>0</v>
      </c>
    </row>
    <row r="328" spans="1:15" x14ac:dyDescent="0.25">
      <c r="A328" s="102">
        <v>41960</v>
      </c>
      <c r="B328" s="101">
        <v>0</v>
      </c>
      <c r="C328" s="101">
        <v>0</v>
      </c>
      <c r="D328" s="101">
        <v>0</v>
      </c>
      <c r="E328" s="101">
        <v>0</v>
      </c>
      <c r="F328" s="101">
        <v>0</v>
      </c>
      <c r="G328" s="101">
        <v>0</v>
      </c>
      <c r="H328" s="101">
        <v>0</v>
      </c>
      <c r="I328" s="101">
        <v>0</v>
      </c>
      <c r="J328" s="101">
        <v>0</v>
      </c>
      <c r="K328" s="101">
        <v>0</v>
      </c>
      <c r="L328" s="101">
        <v>0</v>
      </c>
      <c r="M328" s="101">
        <v>0</v>
      </c>
      <c r="N328" s="101">
        <v>0</v>
      </c>
      <c r="O328" s="101">
        <v>0</v>
      </c>
    </row>
    <row r="329" spans="1:15" x14ac:dyDescent="0.25">
      <c r="A329" s="102">
        <v>41961</v>
      </c>
      <c r="B329" s="101">
        <v>0</v>
      </c>
      <c r="C329" s="101">
        <v>0</v>
      </c>
      <c r="D329" s="101">
        <v>0</v>
      </c>
      <c r="E329" s="101">
        <v>0</v>
      </c>
      <c r="F329" s="101">
        <v>0</v>
      </c>
      <c r="G329" s="101">
        <v>0</v>
      </c>
      <c r="H329" s="101">
        <v>0</v>
      </c>
      <c r="I329" s="101">
        <v>0</v>
      </c>
      <c r="J329" s="101">
        <v>0</v>
      </c>
      <c r="K329" s="101">
        <v>0</v>
      </c>
      <c r="L329" s="101">
        <v>0</v>
      </c>
      <c r="M329" s="101">
        <v>0</v>
      </c>
      <c r="N329" s="101">
        <v>0</v>
      </c>
      <c r="O329" s="101">
        <v>0</v>
      </c>
    </row>
    <row r="330" spans="1:15" x14ac:dyDescent="0.25">
      <c r="A330" s="102">
        <v>41962</v>
      </c>
      <c r="B330" s="101">
        <v>0</v>
      </c>
      <c r="C330" s="101">
        <v>0</v>
      </c>
      <c r="D330" s="101">
        <v>0</v>
      </c>
      <c r="E330" s="101">
        <v>0</v>
      </c>
      <c r="F330" s="101">
        <v>0</v>
      </c>
      <c r="G330" s="101">
        <v>0</v>
      </c>
      <c r="H330" s="101">
        <v>0</v>
      </c>
      <c r="I330" s="101">
        <v>0</v>
      </c>
      <c r="J330" s="101">
        <v>0</v>
      </c>
      <c r="K330" s="101">
        <v>0</v>
      </c>
      <c r="L330" s="101">
        <v>0</v>
      </c>
      <c r="M330" s="101">
        <v>0</v>
      </c>
      <c r="N330" s="101">
        <v>0</v>
      </c>
      <c r="O330" s="101">
        <v>0</v>
      </c>
    </row>
    <row r="331" spans="1:15" x14ac:dyDescent="0.25">
      <c r="A331" s="102">
        <v>41963</v>
      </c>
      <c r="B331" s="101">
        <v>0</v>
      </c>
      <c r="C331" s="101">
        <v>0</v>
      </c>
      <c r="D331" s="101">
        <v>0</v>
      </c>
      <c r="E331" s="101">
        <v>0</v>
      </c>
      <c r="F331" s="101">
        <v>0</v>
      </c>
      <c r="G331" s="101">
        <v>0</v>
      </c>
      <c r="H331" s="101">
        <v>0</v>
      </c>
      <c r="I331" s="101">
        <v>0</v>
      </c>
      <c r="J331" s="101">
        <v>0</v>
      </c>
      <c r="K331" s="101">
        <v>0</v>
      </c>
      <c r="L331" s="101">
        <v>0</v>
      </c>
      <c r="M331" s="101">
        <v>0</v>
      </c>
      <c r="N331" s="101">
        <v>0</v>
      </c>
      <c r="O331" s="101">
        <v>0</v>
      </c>
    </row>
    <row r="332" spans="1:15" x14ac:dyDescent="0.25">
      <c r="A332" s="102">
        <v>41964</v>
      </c>
      <c r="B332" s="101">
        <v>0</v>
      </c>
      <c r="C332" s="101">
        <v>0</v>
      </c>
      <c r="D332" s="101">
        <v>0</v>
      </c>
      <c r="E332" s="101">
        <v>0</v>
      </c>
      <c r="F332" s="101">
        <v>0</v>
      </c>
      <c r="G332" s="101">
        <v>0</v>
      </c>
      <c r="H332" s="101">
        <v>0</v>
      </c>
      <c r="I332" s="101">
        <v>0</v>
      </c>
      <c r="J332" s="101">
        <v>0</v>
      </c>
      <c r="K332" s="101">
        <v>0</v>
      </c>
      <c r="L332" s="101">
        <v>0</v>
      </c>
      <c r="M332" s="101">
        <v>0</v>
      </c>
      <c r="N332" s="101">
        <v>0</v>
      </c>
      <c r="O332" s="101">
        <v>0</v>
      </c>
    </row>
    <row r="333" spans="1:15" x14ac:dyDescent="0.25">
      <c r="A333" s="102">
        <v>41965</v>
      </c>
      <c r="B333" s="101">
        <v>0</v>
      </c>
      <c r="C333" s="101">
        <v>0</v>
      </c>
      <c r="D333" s="101">
        <v>0</v>
      </c>
      <c r="E333" s="101">
        <v>0</v>
      </c>
      <c r="F333" s="101">
        <v>0</v>
      </c>
      <c r="G333" s="101">
        <v>0</v>
      </c>
      <c r="H333" s="101">
        <v>0</v>
      </c>
      <c r="I333" s="101">
        <v>0</v>
      </c>
      <c r="J333" s="101">
        <v>0</v>
      </c>
      <c r="K333" s="101">
        <v>0</v>
      </c>
      <c r="L333" s="101">
        <v>0</v>
      </c>
      <c r="M333" s="101">
        <v>0</v>
      </c>
      <c r="N333" s="101">
        <v>0</v>
      </c>
      <c r="O333" s="101">
        <v>0</v>
      </c>
    </row>
    <row r="334" spans="1:15" x14ac:dyDescent="0.25">
      <c r="A334" s="102">
        <v>41966</v>
      </c>
      <c r="B334" s="101">
        <v>0</v>
      </c>
      <c r="C334" s="101">
        <v>0</v>
      </c>
      <c r="D334" s="101">
        <v>0</v>
      </c>
      <c r="E334" s="101">
        <v>0</v>
      </c>
      <c r="F334" s="101">
        <v>0</v>
      </c>
      <c r="G334" s="101">
        <v>0</v>
      </c>
      <c r="H334" s="101">
        <v>0</v>
      </c>
      <c r="I334" s="101">
        <v>0</v>
      </c>
      <c r="J334" s="101">
        <v>0</v>
      </c>
      <c r="K334" s="101">
        <v>0</v>
      </c>
      <c r="L334" s="101">
        <v>0</v>
      </c>
      <c r="M334" s="101">
        <v>0</v>
      </c>
      <c r="N334" s="101">
        <v>0</v>
      </c>
      <c r="O334" s="101">
        <v>0</v>
      </c>
    </row>
    <row r="335" spans="1:15" x14ac:dyDescent="0.25">
      <c r="A335" s="102">
        <v>41967</v>
      </c>
      <c r="B335" s="101">
        <v>0</v>
      </c>
      <c r="C335" s="101">
        <v>0</v>
      </c>
      <c r="D335" s="101">
        <v>0</v>
      </c>
      <c r="E335" s="101">
        <v>0</v>
      </c>
      <c r="F335" s="101">
        <v>0</v>
      </c>
      <c r="G335" s="101">
        <v>0</v>
      </c>
      <c r="H335" s="101">
        <v>0</v>
      </c>
      <c r="I335" s="101">
        <v>0</v>
      </c>
      <c r="J335" s="101">
        <v>0</v>
      </c>
      <c r="K335" s="101">
        <v>0</v>
      </c>
      <c r="L335" s="101">
        <v>0</v>
      </c>
      <c r="M335" s="101">
        <v>0</v>
      </c>
      <c r="N335" s="101">
        <v>0</v>
      </c>
      <c r="O335" s="101">
        <v>0</v>
      </c>
    </row>
    <row r="336" spans="1:15" x14ac:dyDescent="0.25">
      <c r="A336" s="102">
        <v>41968</v>
      </c>
      <c r="B336" s="101">
        <v>0</v>
      </c>
      <c r="C336" s="101">
        <v>0</v>
      </c>
      <c r="D336" s="101">
        <v>0</v>
      </c>
      <c r="E336" s="101">
        <v>0</v>
      </c>
      <c r="F336" s="101">
        <v>0</v>
      </c>
      <c r="G336" s="101">
        <v>0</v>
      </c>
      <c r="H336" s="101">
        <v>0</v>
      </c>
      <c r="I336" s="101">
        <v>0</v>
      </c>
      <c r="J336" s="101">
        <v>0</v>
      </c>
      <c r="K336" s="101">
        <v>0</v>
      </c>
      <c r="L336" s="101">
        <v>0</v>
      </c>
      <c r="M336" s="101">
        <v>0</v>
      </c>
      <c r="N336" s="101">
        <v>0</v>
      </c>
      <c r="O336" s="101">
        <v>0</v>
      </c>
    </row>
    <row r="337" spans="1:15" x14ac:dyDescent="0.25">
      <c r="A337" s="102">
        <v>41969</v>
      </c>
      <c r="B337" s="101">
        <v>0</v>
      </c>
      <c r="C337" s="101">
        <v>0</v>
      </c>
      <c r="D337" s="101">
        <v>0</v>
      </c>
      <c r="E337" s="101">
        <v>0</v>
      </c>
      <c r="F337" s="101">
        <v>0</v>
      </c>
      <c r="G337" s="101">
        <v>0</v>
      </c>
      <c r="H337" s="101">
        <v>0</v>
      </c>
      <c r="I337" s="101">
        <v>0</v>
      </c>
      <c r="J337" s="101">
        <v>0</v>
      </c>
      <c r="K337" s="101">
        <v>0</v>
      </c>
      <c r="L337" s="101">
        <v>0</v>
      </c>
      <c r="M337" s="101">
        <v>0</v>
      </c>
      <c r="N337" s="101">
        <v>0</v>
      </c>
      <c r="O337" s="101">
        <v>0</v>
      </c>
    </row>
    <row r="338" spans="1:15" x14ac:dyDescent="0.25">
      <c r="A338" s="102">
        <v>41970</v>
      </c>
      <c r="B338" s="101">
        <v>0</v>
      </c>
      <c r="C338" s="101">
        <v>0</v>
      </c>
      <c r="D338" s="101">
        <v>0</v>
      </c>
      <c r="E338" s="101">
        <v>0</v>
      </c>
      <c r="F338" s="101">
        <v>0</v>
      </c>
      <c r="G338" s="101">
        <v>0</v>
      </c>
      <c r="H338" s="101">
        <v>0</v>
      </c>
      <c r="I338" s="101">
        <v>0</v>
      </c>
      <c r="J338" s="101">
        <v>0</v>
      </c>
      <c r="K338" s="101">
        <v>0</v>
      </c>
      <c r="L338" s="101">
        <v>0</v>
      </c>
      <c r="M338" s="101">
        <v>0</v>
      </c>
      <c r="N338" s="101">
        <v>0</v>
      </c>
      <c r="O338" s="101">
        <v>0</v>
      </c>
    </row>
    <row r="339" spans="1:15" x14ac:dyDescent="0.25">
      <c r="A339" s="102">
        <v>41971</v>
      </c>
      <c r="B339" s="101">
        <v>0</v>
      </c>
      <c r="C339" s="101">
        <v>0</v>
      </c>
      <c r="D339" s="101">
        <v>0</v>
      </c>
      <c r="E339" s="101">
        <v>0</v>
      </c>
      <c r="F339" s="101">
        <v>0</v>
      </c>
      <c r="G339" s="101">
        <v>0</v>
      </c>
      <c r="H339" s="101">
        <v>0</v>
      </c>
      <c r="I339" s="101">
        <v>0</v>
      </c>
      <c r="J339" s="101">
        <v>0</v>
      </c>
      <c r="K339" s="101">
        <v>0</v>
      </c>
      <c r="L339" s="101">
        <v>0</v>
      </c>
      <c r="M339" s="101">
        <v>0</v>
      </c>
      <c r="N339" s="101">
        <v>0</v>
      </c>
      <c r="O339" s="101">
        <v>0</v>
      </c>
    </row>
    <row r="340" spans="1:15" x14ac:dyDescent="0.25">
      <c r="A340" s="102">
        <v>41972</v>
      </c>
      <c r="B340" s="101">
        <v>0</v>
      </c>
      <c r="C340" s="101">
        <v>0</v>
      </c>
      <c r="D340" s="101">
        <v>0</v>
      </c>
      <c r="E340" s="101">
        <v>0</v>
      </c>
      <c r="F340" s="101">
        <v>0</v>
      </c>
      <c r="G340" s="101">
        <v>0</v>
      </c>
      <c r="H340" s="101">
        <v>0</v>
      </c>
      <c r="I340" s="101">
        <v>0</v>
      </c>
      <c r="J340" s="101">
        <v>0</v>
      </c>
      <c r="K340" s="101">
        <v>0</v>
      </c>
      <c r="L340" s="101">
        <v>0</v>
      </c>
      <c r="M340" s="101">
        <v>0</v>
      </c>
      <c r="N340" s="101">
        <v>0</v>
      </c>
      <c r="O340" s="101">
        <v>0</v>
      </c>
    </row>
    <row r="341" spans="1:15" x14ac:dyDescent="0.25">
      <c r="A341" s="102">
        <v>41973</v>
      </c>
      <c r="B341" s="101">
        <v>0</v>
      </c>
      <c r="C341" s="101">
        <v>0</v>
      </c>
      <c r="D341" s="101">
        <v>0</v>
      </c>
      <c r="E341" s="101">
        <v>0</v>
      </c>
      <c r="F341" s="101">
        <v>0</v>
      </c>
      <c r="G341" s="101">
        <v>0</v>
      </c>
      <c r="H341" s="101">
        <v>0</v>
      </c>
      <c r="I341" s="101">
        <v>0</v>
      </c>
      <c r="J341" s="101">
        <v>0</v>
      </c>
      <c r="K341" s="101">
        <v>0</v>
      </c>
      <c r="L341" s="101">
        <v>0</v>
      </c>
      <c r="M341" s="101">
        <v>0</v>
      </c>
      <c r="N341" s="101">
        <v>0</v>
      </c>
      <c r="O341" s="101">
        <v>0</v>
      </c>
    </row>
    <row r="342" spans="1:15" x14ac:dyDescent="0.25">
      <c r="B342" s="101">
        <v>0</v>
      </c>
      <c r="C342" s="101">
        <v>0</v>
      </c>
      <c r="D342" s="101">
        <v>0</v>
      </c>
      <c r="E342" s="101">
        <v>0</v>
      </c>
      <c r="F342" s="101">
        <v>0</v>
      </c>
      <c r="G342" s="101">
        <v>0</v>
      </c>
      <c r="H342" s="101">
        <v>0</v>
      </c>
      <c r="I342" s="101">
        <v>0</v>
      </c>
      <c r="J342" s="101">
        <v>0</v>
      </c>
      <c r="K342" s="101">
        <v>0</v>
      </c>
      <c r="L342" s="101">
        <v>0</v>
      </c>
      <c r="M342" s="101">
        <v>0</v>
      </c>
      <c r="N342" s="101">
        <v>0</v>
      </c>
      <c r="O342" s="101">
        <v>0</v>
      </c>
    </row>
    <row r="343" spans="1:15" x14ac:dyDescent="0.25">
      <c r="A343" s="102">
        <v>41974</v>
      </c>
      <c r="B343" s="101">
        <v>0</v>
      </c>
      <c r="C343" s="101">
        <v>0</v>
      </c>
      <c r="D343" s="101">
        <v>0</v>
      </c>
      <c r="E343" s="101">
        <v>0</v>
      </c>
      <c r="F343" s="101">
        <v>0</v>
      </c>
      <c r="G343" s="101">
        <v>0</v>
      </c>
      <c r="H343" s="101">
        <v>0</v>
      </c>
      <c r="I343" s="101">
        <v>0</v>
      </c>
      <c r="J343" s="101">
        <v>0</v>
      </c>
      <c r="K343" s="101">
        <v>0</v>
      </c>
      <c r="L343" s="101">
        <v>0</v>
      </c>
      <c r="M343" s="101">
        <v>0</v>
      </c>
      <c r="N343" s="101">
        <v>0</v>
      </c>
      <c r="O343" s="101">
        <v>0</v>
      </c>
    </row>
    <row r="344" spans="1:15" x14ac:dyDescent="0.25">
      <c r="A344" s="102">
        <v>41975</v>
      </c>
      <c r="B344" s="101">
        <v>0</v>
      </c>
      <c r="C344" s="101">
        <v>0</v>
      </c>
      <c r="D344" s="101">
        <v>0</v>
      </c>
      <c r="E344" s="101">
        <v>0</v>
      </c>
      <c r="F344" s="101">
        <v>0</v>
      </c>
      <c r="G344" s="101">
        <v>0</v>
      </c>
      <c r="H344" s="101">
        <v>0</v>
      </c>
      <c r="I344" s="101">
        <v>0</v>
      </c>
      <c r="J344" s="101">
        <v>0</v>
      </c>
      <c r="K344" s="101">
        <v>0</v>
      </c>
      <c r="L344" s="101">
        <v>0</v>
      </c>
      <c r="M344" s="101">
        <v>0</v>
      </c>
      <c r="N344" s="101">
        <v>0</v>
      </c>
      <c r="O344" s="101">
        <v>0</v>
      </c>
    </row>
    <row r="345" spans="1:15" x14ac:dyDescent="0.25">
      <c r="A345" s="102">
        <v>41976</v>
      </c>
      <c r="B345" s="101">
        <v>0</v>
      </c>
      <c r="C345" s="101">
        <v>0</v>
      </c>
      <c r="D345" s="101">
        <v>0</v>
      </c>
      <c r="E345" s="101">
        <v>0</v>
      </c>
      <c r="F345" s="101">
        <v>0</v>
      </c>
      <c r="G345" s="101">
        <v>0</v>
      </c>
      <c r="H345" s="101">
        <v>0</v>
      </c>
      <c r="I345" s="101">
        <v>0</v>
      </c>
      <c r="J345" s="101">
        <v>0</v>
      </c>
      <c r="K345" s="101">
        <v>0</v>
      </c>
      <c r="L345" s="101">
        <v>0</v>
      </c>
      <c r="M345" s="101">
        <v>0</v>
      </c>
      <c r="N345" s="101">
        <v>0</v>
      </c>
      <c r="O345" s="101">
        <v>0</v>
      </c>
    </row>
    <row r="346" spans="1:15" x14ac:dyDescent="0.25">
      <c r="A346" s="102">
        <v>41977</v>
      </c>
      <c r="B346" s="101">
        <v>0</v>
      </c>
      <c r="C346" s="101">
        <v>0</v>
      </c>
      <c r="D346" s="101">
        <v>0</v>
      </c>
      <c r="E346" s="101">
        <v>0</v>
      </c>
      <c r="F346" s="101">
        <v>0</v>
      </c>
      <c r="G346" s="101">
        <v>0</v>
      </c>
      <c r="H346" s="101">
        <v>0</v>
      </c>
      <c r="I346" s="101">
        <v>0</v>
      </c>
      <c r="J346" s="101">
        <v>0</v>
      </c>
      <c r="K346" s="101">
        <v>0</v>
      </c>
      <c r="L346" s="101">
        <v>0</v>
      </c>
      <c r="M346" s="101">
        <v>0</v>
      </c>
      <c r="N346" s="101">
        <v>0</v>
      </c>
      <c r="O346" s="101">
        <v>0</v>
      </c>
    </row>
    <row r="347" spans="1:15" x14ac:dyDescent="0.25">
      <c r="A347" s="102">
        <v>41978</v>
      </c>
      <c r="B347" s="101">
        <v>0</v>
      </c>
      <c r="C347" s="101">
        <v>0</v>
      </c>
      <c r="D347" s="101">
        <v>0</v>
      </c>
      <c r="E347" s="101">
        <v>0</v>
      </c>
      <c r="F347" s="101">
        <v>0</v>
      </c>
      <c r="G347" s="101">
        <v>0</v>
      </c>
      <c r="H347" s="101">
        <v>0</v>
      </c>
      <c r="I347" s="101">
        <v>0</v>
      </c>
      <c r="J347" s="101">
        <v>0</v>
      </c>
      <c r="K347" s="101">
        <v>0</v>
      </c>
      <c r="L347" s="101">
        <v>0</v>
      </c>
      <c r="M347" s="101">
        <v>0</v>
      </c>
      <c r="N347" s="101">
        <v>0</v>
      </c>
      <c r="O347" s="101">
        <v>0</v>
      </c>
    </row>
    <row r="348" spans="1:15" x14ac:dyDescent="0.25">
      <c r="A348" s="102">
        <v>41979</v>
      </c>
      <c r="B348" s="101">
        <v>0</v>
      </c>
      <c r="C348" s="101">
        <v>0</v>
      </c>
      <c r="D348" s="101">
        <v>0</v>
      </c>
      <c r="E348" s="101">
        <v>0</v>
      </c>
      <c r="F348" s="101">
        <v>0</v>
      </c>
      <c r="G348" s="101">
        <v>0</v>
      </c>
      <c r="H348" s="101">
        <v>0</v>
      </c>
      <c r="I348" s="101">
        <v>0</v>
      </c>
      <c r="J348" s="101">
        <v>0</v>
      </c>
      <c r="K348" s="101">
        <v>0</v>
      </c>
      <c r="L348" s="101">
        <v>0</v>
      </c>
      <c r="M348" s="101">
        <v>0</v>
      </c>
      <c r="N348" s="101">
        <v>0</v>
      </c>
      <c r="O348" s="101">
        <v>0</v>
      </c>
    </row>
    <row r="349" spans="1:15" x14ac:dyDescent="0.25">
      <c r="A349" s="102">
        <v>41980</v>
      </c>
      <c r="B349" s="101">
        <v>0</v>
      </c>
      <c r="C349" s="101">
        <v>0</v>
      </c>
      <c r="D349" s="101">
        <v>0</v>
      </c>
      <c r="E349" s="101">
        <v>0</v>
      </c>
      <c r="F349" s="101">
        <v>0</v>
      </c>
      <c r="G349" s="101">
        <v>0</v>
      </c>
      <c r="H349" s="101">
        <v>0</v>
      </c>
      <c r="I349" s="101">
        <v>0</v>
      </c>
      <c r="J349" s="101">
        <v>0</v>
      </c>
      <c r="K349" s="101">
        <v>0</v>
      </c>
      <c r="L349" s="101">
        <v>0</v>
      </c>
      <c r="M349" s="101">
        <v>0</v>
      </c>
      <c r="N349" s="101">
        <v>0</v>
      </c>
      <c r="O349" s="101">
        <v>0</v>
      </c>
    </row>
    <row r="350" spans="1:15" x14ac:dyDescent="0.25">
      <c r="A350" s="102">
        <v>41981</v>
      </c>
      <c r="B350" s="101">
        <v>0</v>
      </c>
      <c r="C350" s="101">
        <v>0</v>
      </c>
      <c r="D350" s="101">
        <v>0</v>
      </c>
      <c r="E350" s="101">
        <v>0</v>
      </c>
      <c r="F350" s="101">
        <v>0</v>
      </c>
      <c r="G350" s="101">
        <v>0</v>
      </c>
      <c r="H350" s="101">
        <v>0</v>
      </c>
      <c r="I350" s="101">
        <v>0</v>
      </c>
      <c r="J350" s="101">
        <v>0</v>
      </c>
      <c r="K350" s="101">
        <v>0</v>
      </c>
      <c r="L350" s="101">
        <v>0</v>
      </c>
      <c r="M350" s="101">
        <v>0</v>
      </c>
      <c r="N350" s="101">
        <v>0</v>
      </c>
      <c r="O350" s="101">
        <v>0</v>
      </c>
    </row>
    <row r="351" spans="1:15" x14ac:dyDescent="0.25">
      <c r="A351" s="102">
        <v>41982</v>
      </c>
      <c r="B351" s="101">
        <v>0</v>
      </c>
      <c r="C351" s="101">
        <v>0</v>
      </c>
      <c r="D351" s="101">
        <v>0</v>
      </c>
      <c r="E351" s="101">
        <v>0</v>
      </c>
      <c r="F351" s="101">
        <v>0</v>
      </c>
      <c r="G351" s="101">
        <v>0</v>
      </c>
      <c r="H351" s="101">
        <v>0</v>
      </c>
      <c r="I351" s="101">
        <v>0</v>
      </c>
      <c r="J351" s="101">
        <v>0</v>
      </c>
      <c r="K351" s="101">
        <v>0</v>
      </c>
      <c r="L351" s="101">
        <v>0</v>
      </c>
      <c r="M351" s="101">
        <v>0</v>
      </c>
      <c r="N351" s="101">
        <v>0</v>
      </c>
      <c r="O351" s="101">
        <v>0</v>
      </c>
    </row>
    <row r="352" spans="1:15" x14ac:dyDescent="0.25">
      <c r="A352" s="102">
        <v>41983</v>
      </c>
      <c r="B352" s="101">
        <v>0</v>
      </c>
      <c r="C352" s="101">
        <v>0</v>
      </c>
      <c r="D352" s="101">
        <v>0</v>
      </c>
      <c r="E352" s="101">
        <v>0</v>
      </c>
      <c r="F352" s="101">
        <v>0</v>
      </c>
      <c r="G352" s="101">
        <v>0</v>
      </c>
      <c r="H352" s="101">
        <v>0</v>
      </c>
      <c r="I352" s="101">
        <v>0</v>
      </c>
      <c r="J352" s="101">
        <v>0</v>
      </c>
      <c r="K352" s="101">
        <v>0</v>
      </c>
      <c r="L352" s="101">
        <v>0</v>
      </c>
      <c r="M352" s="101">
        <v>0</v>
      </c>
      <c r="N352" s="101">
        <v>0</v>
      </c>
      <c r="O352" s="101">
        <v>0</v>
      </c>
    </row>
    <row r="353" spans="1:15" x14ac:dyDescent="0.25">
      <c r="A353" s="102">
        <v>41984</v>
      </c>
      <c r="B353" s="101">
        <v>0</v>
      </c>
      <c r="C353" s="101">
        <v>0</v>
      </c>
      <c r="D353" s="101">
        <v>0</v>
      </c>
      <c r="E353" s="101">
        <v>0</v>
      </c>
      <c r="F353" s="101">
        <v>0</v>
      </c>
      <c r="G353" s="101">
        <v>0</v>
      </c>
      <c r="H353" s="101">
        <v>0</v>
      </c>
      <c r="I353" s="101">
        <v>0</v>
      </c>
      <c r="J353" s="101">
        <v>0</v>
      </c>
      <c r="K353" s="101">
        <v>0</v>
      </c>
      <c r="L353" s="101">
        <v>0</v>
      </c>
      <c r="M353" s="101">
        <v>0</v>
      </c>
      <c r="N353" s="101">
        <v>0</v>
      </c>
      <c r="O353" s="101">
        <v>0</v>
      </c>
    </row>
    <row r="354" spans="1:15" x14ac:dyDescent="0.25">
      <c r="A354" s="102">
        <v>41985</v>
      </c>
      <c r="B354" s="101">
        <v>0</v>
      </c>
      <c r="C354" s="101">
        <v>0</v>
      </c>
      <c r="D354" s="101">
        <v>0</v>
      </c>
      <c r="E354" s="101">
        <v>0</v>
      </c>
      <c r="F354" s="101">
        <v>0</v>
      </c>
      <c r="G354" s="101">
        <v>0</v>
      </c>
      <c r="H354" s="101">
        <v>0</v>
      </c>
      <c r="I354" s="101">
        <v>0</v>
      </c>
      <c r="J354" s="101">
        <v>0</v>
      </c>
      <c r="K354" s="101">
        <v>0</v>
      </c>
      <c r="L354" s="101">
        <v>0</v>
      </c>
      <c r="M354" s="101">
        <v>0</v>
      </c>
      <c r="N354" s="101">
        <v>0</v>
      </c>
      <c r="O354" s="101">
        <v>0</v>
      </c>
    </row>
    <row r="355" spans="1:15" x14ac:dyDescent="0.25">
      <c r="A355" s="102">
        <v>41986</v>
      </c>
      <c r="B355" s="101">
        <v>0</v>
      </c>
      <c r="C355" s="101">
        <v>0</v>
      </c>
      <c r="D355" s="101">
        <v>0</v>
      </c>
      <c r="E355" s="101">
        <v>0</v>
      </c>
      <c r="F355" s="101">
        <v>0</v>
      </c>
      <c r="G355" s="101">
        <v>0</v>
      </c>
      <c r="H355" s="101">
        <v>0</v>
      </c>
      <c r="I355" s="101">
        <v>0</v>
      </c>
      <c r="J355" s="101">
        <v>0</v>
      </c>
      <c r="K355" s="101">
        <v>0</v>
      </c>
      <c r="L355" s="101">
        <v>0</v>
      </c>
      <c r="M355" s="101">
        <v>0</v>
      </c>
      <c r="N355" s="101">
        <v>0</v>
      </c>
      <c r="O355" s="101">
        <v>0</v>
      </c>
    </row>
    <row r="356" spans="1:15" x14ac:dyDescent="0.25">
      <c r="A356" s="102">
        <v>41987</v>
      </c>
      <c r="B356" s="101">
        <v>0</v>
      </c>
      <c r="C356" s="101">
        <v>0</v>
      </c>
      <c r="D356" s="101">
        <v>0</v>
      </c>
      <c r="E356" s="101">
        <v>0</v>
      </c>
      <c r="F356" s="101">
        <v>0</v>
      </c>
      <c r="G356" s="101">
        <v>0</v>
      </c>
      <c r="H356" s="101">
        <v>0</v>
      </c>
      <c r="I356" s="101">
        <v>0</v>
      </c>
      <c r="J356" s="101">
        <v>0</v>
      </c>
      <c r="K356" s="101">
        <v>0</v>
      </c>
      <c r="L356" s="101">
        <v>0</v>
      </c>
      <c r="M356" s="101">
        <v>0</v>
      </c>
      <c r="N356" s="101">
        <v>0</v>
      </c>
      <c r="O356" s="101">
        <v>0</v>
      </c>
    </row>
    <row r="357" spans="1:15" x14ac:dyDescent="0.25">
      <c r="A357" s="102">
        <v>41988</v>
      </c>
      <c r="B357" s="101">
        <v>0</v>
      </c>
      <c r="C357" s="101">
        <v>0</v>
      </c>
      <c r="D357" s="101">
        <v>0</v>
      </c>
      <c r="E357" s="101">
        <v>0</v>
      </c>
      <c r="F357" s="101">
        <v>0</v>
      </c>
      <c r="G357" s="101">
        <v>0</v>
      </c>
      <c r="H357" s="101">
        <v>0</v>
      </c>
      <c r="I357" s="101">
        <v>0</v>
      </c>
      <c r="J357" s="101">
        <v>0</v>
      </c>
      <c r="K357" s="101">
        <v>0</v>
      </c>
      <c r="L357" s="101">
        <v>0</v>
      </c>
      <c r="M357" s="101">
        <v>0</v>
      </c>
      <c r="N357" s="101">
        <v>0</v>
      </c>
      <c r="O357" s="101">
        <v>0</v>
      </c>
    </row>
    <row r="358" spans="1:15" x14ac:dyDescent="0.25">
      <c r="A358" s="102">
        <v>41989</v>
      </c>
      <c r="B358" s="101">
        <v>0</v>
      </c>
      <c r="C358" s="101">
        <v>0</v>
      </c>
      <c r="D358" s="101">
        <v>0</v>
      </c>
      <c r="E358" s="101">
        <v>0</v>
      </c>
      <c r="F358" s="101">
        <v>0</v>
      </c>
      <c r="G358" s="101">
        <v>0</v>
      </c>
      <c r="H358" s="101">
        <v>0</v>
      </c>
      <c r="I358" s="101">
        <v>0</v>
      </c>
      <c r="J358" s="101">
        <v>0</v>
      </c>
      <c r="K358" s="101">
        <v>0</v>
      </c>
      <c r="L358" s="101">
        <v>0</v>
      </c>
      <c r="M358" s="101">
        <v>0</v>
      </c>
      <c r="N358" s="101">
        <v>0</v>
      </c>
      <c r="O358" s="101">
        <v>0</v>
      </c>
    </row>
    <row r="359" spans="1:15" x14ac:dyDescent="0.25">
      <c r="A359" s="102">
        <v>41990</v>
      </c>
      <c r="B359" s="101">
        <v>0</v>
      </c>
      <c r="C359" s="101">
        <v>0</v>
      </c>
      <c r="D359" s="101">
        <v>0</v>
      </c>
      <c r="E359" s="101">
        <v>0</v>
      </c>
      <c r="F359" s="101">
        <v>0</v>
      </c>
      <c r="G359" s="101">
        <v>0</v>
      </c>
      <c r="H359" s="101">
        <v>0</v>
      </c>
      <c r="I359" s="101">
        <v>0</v>
      </c>
      <c r="J359" s="101">
        <v>0</v>
      </c>
      <c r="K359" s="101">
        <v>0</v>
      </c>
      <c r="L359" s="101">
        <v>0</v>
      </c>
      <c r="M359" s="101">
        <v>0</v>
      </c>
      <c r="N359" s="101">
        <v>0</v>
      </c>
      <c r="O359" s="101">
        <v>0</v>
      </c>
    </row>
    <row r="360" spans="1:15" x14ac:dyDescent="0.25">
      <c r="A360" s="102">
        <v>41991</v>
      </c>
      <c r="B360" s="101">
        <v>0</v>
      </c>
      <c r="C360" s="101">
        <v>0</v>
      </c>
      <c r="D360" s="101">
        <v>0</v>
      </c>
      <c r="E360" s="101">
        <v>0</v>
      </c>
      <c r="F360" s="101">
        <v>0</v>
      </c>
      <c r="G360" s="101">
        <v>0</v>
      </c>
      <c r="H360" s="101">
        <v>0</v>
      </c>
      <c r="I360" s="101">
        <v>0</v>
      </c>
      <c r="J360" s="101">
        <v>0</v>
      </c>
      <c r="K360" s="101">
        <v>0</v>
      </c>
      <c r="L360" s="101">
        <v>0</v>
      </c>
      <c r="M360" s="101">
        <v>0</v>
      </c>
      <c r="N360" s="101">
        <v>0</v>
      </c>
      <c r="O360" s="101">
        <v>0</v>
      </c>
    </row>
    <row r="361" spans="1:15" x14ac:dyDescent="0.25">
      <c r="A361" s="102">
        <v>41992</v>
      </c>
      <c r="B361" s="101">
        <v>0</v>
      </c>
      <c r="C361" s="101">
        <v>0</v>
      </c>
      <c r="D361" s="101">
        <v>0</v>
      </c>
      <c r="E361" s="101">
        <v>0</v>
      </c>
      <c r="F361" s="101">
        <v>0</v>
      </c>
      <c r="G361" s="101">
        <v>0</v>
      </c>
      <c r="H361" s="101">
        <v>0</v>
      </c>
      <c r="I361" s="101">
        <v>0</v>
      </c>
      <c r="J361" s="101">
        <v>0</v>
      </c>
      <c r="K361" s="101">
        <v>0</v>
      </c>
      <c r="L361" s="101">
        <v>0</v>
      </c>
      <c r="M361" s="101">
        <v>0</v>
      </c>
      <c r="N361" s="101">
        <v>0</v>
      </c>
      <c r="O361" s="101">
        <v>0</v>
      </c>
    </row>
    <row r="362" spans="1:15" x14ac:dyDescent="0.25">
      <c r="A362" s="102">
        <v>41993</v>
      </c>
      <c r="B362" s="101">
        <v>0</v>
      </c>
      <c r="C362" s="101">
        <v>0</v>
      </c>
      <c r="D362" s="101">
        <v>0</v>
      </c>
      <c r="E362" s="101">
        <v>0</v>
      </c>
      <c r="F362" s="101">
        <v>0</v>
      </c>
      <c r="G362" s="101">
        <v>0</v>
      </c>
      <c r="H362" s="101">
        <v>0</v>
      </c>
      <c r="I362" s="101">
        <v>0</v>
      </c>
      <c r="J362" s="101">
        <v>0</v>
      </c>
      <c r="K362" s="101">
        <v>0</v>
      </c>
      <c r="L362" s="101">
        <v>0</v>
      </c>
      <c r="M362" s="101">
        <v>0</v>
      </c>
      <c r="N362" s="101">
        <v>0</v>
      </c>
      <c r="O362" s="101">
        <v>0</v>
      </c>
    </row>
    <row r="363" spans="1:15" x14ac:dyDescent="0.25">
      <c r="A363" s="102">
        <v>41994</v>
      </c>
      <c r="B363" s="101">
        <v>0</v>
      </c>
      <c r="C363" s="101">
        <v>0</v>
      </c>
      <c r="D363" s="101">
        <v>0</v>
      </c>
      <c r="E363" s="101">
        <v>0</v>
      </c>
      <c r="F363" s="101">
        <v>0</v>
      </c>
      <c r="G363" s="101">
        <v>0</v>
      </c>
      <c r="H363" s="101">
        <v>0</v>
      </c>
      <c r="I363" s="101">
        <v>0</v>
      </c>
      <c r="J363" s="101">
        <v>0</v>
      </c>
      <c r="K363" s="101">
        <v>0</v>
      </c>
      <c r="L363" s="101">
        <v>0</v>
      </c>
      <c r="M363" s="101">
        <v>0</v>
      </c>
      <c r="N363" s="101">
        <v>0</v>
      </c>
      <c r="O363" s="101">
        <v>0</v>
      </c>
    </row>
    <row r="364" spans="1:15" x14ac:dyDescent="0.25">
      <c r="A364" s="102">
        <v>41995</v>
      </c>
      <c r="B364" s="101">
        <v>0</v>
      </c>
      <c r="C364" s="101">
        <v>0</v>
      </c>
      <c r="D364" s="101">
        <v>0</v>
      </c>
      <c r="E364" s="101">
        <v>0</v>
      </c>
      <c r="F364" s="101">
        <v>0</v>
      </c>
      <c r="G364" s="101">
        <v>0</v>
      </c>
      <c r="H364" s="101">
        <v>0</v>
      </c>
      <c r="I364" s="101">
        <v>0</v>
      </c>
      <c r="J364" s="101">
        <v>0</v>
      </c>
      <c r="K364" s="101">
        <v>0</v>
      </c>
      <c r="L364" s="101">
        <v>0</v>
      </c>
      <c r="M364" s="101">
        <v>0</v>
      </c>
      <c r="N364" s="101">
        <v>0</v>
      </c>
      <c r="O364" s="101">
        <v>0</v>
      </c>
    </row>
    <row r="365" spans="1:15" x14ac:dyDescent="0.25">
      <c r="A365" s="102">
        <v>41996</v>
      </c>
      <c r="B365" s="101">
        <v>0</v>
      </c>
      <c r="C365" s="101">
        <v>0</v>
      </c>
      <c r="D365" s="101">
        <v>0</v>
      </c>
      <c r="E365" s="101">
        <v>0</v>
      </c>
      <c r="F365" s="101">
        <v>0</v>
      </c>
      <c r="G365" s="101">
        <v>0</v>
      </c>
      <c r="H365" s="101">
        <v>0</v>
      </c>
      <c r="I365" s="101">
        <v>0</v>
      </c>
      <c r="J365" s="101">
        <v>0</v>
      </c>
      <c r="K365" s="101">
        <v>0</v>
      </c>
      <c r="L365" s="101">
        <v>0</v>
      </c>
      <c r="M365" s="101">
        <v>0</v>
      </c>
      <c r="N365" s="101">
        <v>0</v>
      </c>
      <c r="O365" s="101">
        <v>0</v>
      </c>
    </row>
    <row r="366" spans="1:15" x14ac:dyDescent="0.25">
      <c r="A366" s="102">
        <v>41997</v>
      </c>
      <c r="B366" s="101">
        <v>0</v>
      </c>
      <c r="C366" s="101">
        <v>0</v>
      </c>
      <c r="D366" s="101">
        <v>0</v>
      </c>
      <c r="E366" s="101">
        <v>0</v>
      </c>
      <c r="F366" s="101">
        <v>0</v>
      </c>
      <c r="G366" s="101">
        <v>0</v>
      </c>
      <c r="H366" s="101">
        <v>0</v>
      </c>
      <c r="I366" s="101">
        <v>0</v>
      </c>
      <c r="J366" s="101">
        <v>0</v>
      </c>
      <c r="K366" s="101">
        <v>0</v>
      </c>
      <c r="L366" s="101">
        <v>0</v>
      </c>
      <c r="M366" s="101">
        <v>0</v>
      </c>
      <c r="N366" s="101">
        <v>0</v>
      </c>
      <c r="O366" s="101">
        <v>0</v>
      </c>
    </row>
    <row r="367" spans="1:15" x14ac:dyDescent="0.25">
      <c r="A367" s="102">
        <v>41998</v>
      </c>
      <c r="B367" s="101">
        <v>0</v>
      </c>
      <c r="C367" s="101">
        <v>0</v>
      </c>
      <c r="D367" s="101">
        <v>0</v>
      </c>
      <c r="E367" s="101">
        <v>0</v>
      </c>
      <c r="F367" s="101">
        <v>0</v>
      </c>
      <c r="G367" s="101">
        <v>0</v>
      </c>
      <c r="H367" s="101">
        <v>0</v>
      </c>
      <c r="I367" s="101">
        <v>0</v>
      </c>
      <c r="J367" s="101">
        <v>0</v>
      </c>
      <c r="K367" s="101">
        <v>0</v>
      </c>
      <c r="L367" s="101">
        <v>0</v>
      </c>
      <c r="M367" s="101">
        <v>0</v>
      </c>
      <c r="N367" s="101">
        <v>0</v>
      </c>
      <c r="O367" s="101">
        <v>0</v>
      </c>
    </row>
    <row r="368" spans="1:15" x14ac:dyDescent="0.25">
      <c r="A368" s="102">
        <v>41999</v>
      </c>
      <c r="B368" s="101">
        <v>0</v>
      </c>
      <c r="C368" s="101">
        <v>0</v>
      </c>
      <c r="D368" s="101">
        <v>0</v>
      </c>
      <c r="E368" s="101">
        <v>0</v>
      </c>
      <c r="F368" s="101">
        <v>0</v>
      </c>
      <c r="G368" s="101">
        <v>0</v>
      </c>
      <c r="H368" s="101">
        <v>0</v>
      </c>
      <c r="I368" s="101">
        <v>0</v>
      </c>
      <c r="J368" s="101">
        <v>0</v>
      </c>
      <c r="K368" s="101">
        <v>0</v>
      </c>
      <c r="L368" s="101">
        <v>0</v>
      </c>
      <c r="M368" s="101">
        <v>0</v>
      </c>
      <c r="N368" s="101">
        <v>0</v>
      </c>
      <c r="O368" s="101">
        <v>0</v>
      </c>
    </row>
    <row r="369" spans="1:15" x14ac:dyDescent="0.25">
      <c r="A369" s="102">
        <v>42000</v>
      </c>
      <c r="B369" s="101">
        <v>0</v>
      </c>
      <c r="C369" s="101">
        <v>0</v>
      </c>
      <c r="D369" s="101">
        <v>0</v>
      </c>
      <c r="E369" s="101">
        <v>0</v>
      </c>
      <c r="F369" s="101">
        <v>0</v>
      </c>
      <c r="G369" s="101">
        <v>0</v>
      </c>
      <c r="H369" s="101">
        <v>0</v>
      </c>
      <c r="I369" s="101">
        <v>0</v>
      </c>
      <c r="J369" s="101">
        <v>0</v>
      </c>
      <c r="K369" s="101">
        <v>0</v>
      </c>
      <c r="L369" s="101">
        <v>0</v>
      </c>
      <c r="M369" s="101">
        <v>0</v>
      </c>
      <c r="N369" s="101">
        <v>0</v>
      </c>
      <c r="O369" s="101">
        <v>0</v>
      </c>
    </row>
    <row r="370" spans="1:15" x14ac:dyDescent="0.25">
      <c r="A370" s="102">
        <v>42001</v>
      </c>
      <c r="B370" s="101">
        <v>0</v>
      </c>
      <c r="C370" s="101">
        <v>0</v>
      </c>
      <c r="D370" s="101">
        <v>0</v>
      </c>
      <c r="E370" s="101">
        <v>0</v>
      </c>
      <c r="F370" s="101">
        <v>0</v>
      </c>
      <c r="G370" s="101">
        <v>0</v>
      </c>
      <c r="H370" s="101">
        <v>0</v>
      </c>
      <c r="I370" s="101">
        <v>0</v>
      </c>
      <c r="J370" s="101">
        <v>0</v>
      </c>
      <c r="K370" s="101">
        <v>0</v>
      </c>
      <c r="L370" s="101">
        <v>0</v>
      </c>
      <c r="M370" s="101">
        <v>0</v>
      </c>
      <c r="N370" s="101">
        <v>0</v>
      </c>
      <c r="O370" s="101">
        <v>0</v>
      </c>
    </row>
    <row r="371" spans="1:15" x14ac:dyDescent="0.25">
      <c r="A371" s="102">
        <v>42002</v>
      </c>
      <c r="B371" s="101">
        <v>0</v>
      </c>
      <c r="C371" s="101">
        <v>0</v>
      </c>
      <c r="D371" s="101">
        <v>0</v>
      </c>
      <c r="E371" s="101">
        <v>0</v>
      </c>
      <c r="F371" s="101">
        <v>0</v>
      </c>
      <c r="G371" s="101">
        <v>0</v>
      </c>
      <c r="H371" s="101">
        <v>0</v>
      </c>
      <c r="I371" s="101">
        <v>0</v>
      </c>
      <c r="J371" s="101">
        <v>0</v>
      </c>
      <c r="K371" s="101">
        <v>0</v>
      </c>
      <c r="L371" s="101">
        <v>0</v>
      </c>
      <c r="M371" s="101">
        <v>0</v>
      </c>
      <c r="N371" s="101">
        <v>0</v>
      </c>
      <c r="O371" s="101">
        <v>0</v>
      </c>
    </row>
    <row r="372" spans="1:15" x14ac:dyDescent="0.25">
      <c r="A372" s="102">
        <v>42003</v>
      </c>
      <c r="B372" s="101">
        <v>0</v>
      </c>
      <c r="C372" s="101">
        <v>0</v>
      </c>
      <c r="D372" s="101">
        <v>0</v>
      </c>
      <c r="E372" s="101">
        <v>0</v>
      </c>
      <c r="F372" s="101">
        <v>0</v>
      </c>
      <c r="G372" s="101">
        <v>0</v>
      </c>
      <c r="H372" s="101">
        <v>0</v>
      </c>
      <c r="I372" s="101">
        <v>0</v>
      </c>
      <c r="J372" s="101">
        <v>0</v>
      </c>
      <c r="K372" s="101">
        <v>0</v>
      </c>
      <c r="L372" s="101">
        <v>0</v>
      </c>
      <c r="M372" s="101">
        <v>0</v>
      </c>
      <c r="N372" s="101">
        <v>0</v>
      </c>
      <c r="O372" s="101">
        <v>0</v>
      </c>
    </row>
    <row r="373" spans="1:15" x14ac:dyDescent="0.25">
      <c r="A373" s="102">
        <v>42004</v>
      </c>
      <c r="B373" s="101">
        <v>0</v>
      </c>
      <c r="C373" s="101">
        <v>0</v>
      </c>
      <c r="D373" s="101">
        <v>0</v>
      </c>
      <c r="E373" s="101">
        <v>0</v>
      </c>
      <c r="F373" s="101">
        <v>0</v>
      </c>
      <c r="G373" s="101">
        <v>0</v>
      </c>
      <c r="H373" s="101">
        <v>0</v>
      </c>
      <c r="I373" s="101">
        <v>0</v>
      </c>
      <c r="J373" s="101">
        <v>0</v>
      </c>
      <c r="K373" s="101">
        <v>0</v>
      </c>
      <c r="L373" s="101">
        <v>0</v>
      </c>
      <c r="M373" s="101">
        <v>0</v>
      </c>
      <c r="N373" s="101">
        <v>0</v>
      </c>
      <c r="O373" s="101">
        <v>0</v>
      </c>
    </row>
    <row r="374" spans="1:15" x14ac:dyDescent="0.25">
      <c r="A374" s="102"/>
    </row>
    <row r="375" spans="1:15" x14ac:dyDescent="0.25">
      <c r="A375" s="102"/>
    </row>
    <row r="376" spans="1:15" x14ac:dyDescent="0.25">
      <c r="A376" s="102"/>
    </row>
    <row r="377" spans="1:15" x14ac:dyDescent="0.25">
      <c r="A377" s="102"/>
    </row>
    <row r="378" spans="1:15" x14ac:dyDescent="0.25">
      <c r="A378" s="102"/>
    </row>
    <row r="379" spans="1:15" x14ac:dyDescent="0.25">
      <c r="A379" s="102"/>
    </row>
    <row r="380" spans="1:15" x14ac:dyDescent="0.25">
      <c r="A380" s="102"/>
    </row>
  </sheetData>
  <autoFilter ref="A1:O373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H10"/>
  <sheetViews>
    <sheetView zoomScaleNormal="100" workbookViewId="0">
      <selection activeCell="G32" sqref="G32:G36"/>
    </sheetView>
  </sheetViews>
  <sheetFormatPr defaultRowHeight="15" x14ac:dyDescent="0.25"/>
  <cols>
    <col min="1" max="1" width="10.7109375" bestFit="1" customWidth="1"/>
    <col min="2" max="2" width="20.85546875" bestFit="1" customWidth="1"/>
    <col min="4" max="4" width="20.85546875" bestFit="1" customWidth="1"/>
    <col min="5" max="5" width="10.5703125" customWidth="1"/>
    <col min="6" max="6" width="10.85546875" customWidth="1"/>
    <col min="8" max="8" width="19.85546875" bestFit="1" customWidth="1"/>
    <col min="13" max="13" width="20.85546875" bestFit="1" customWidth="1"/>
  </cols>
  <sheetData>
    <row r="1" spans="1:8" x14ac:dyDescent="0.25">
      <c r="B1" t="s">
        <v>78</v>
      </c>
      <c r="C1" t="s">
        <v>84</v>
      </c>
    </row>
    <row r="2" spans="1:8" x14ac:dyDescent="0.25">
      <c r="B2" t="s">
        <v>80</v>
      </c>
    </row>
    <row r="3" spans="1:8" x14ac:dyDescent="0.25">
      <c r="B3" t="s">
        <v>81</v>
      </c>
    </row>
    <row r="4" spans="1:8" x14ac:dyDescent="0.25">
      <c r="B4" t="s">
        <v>82</v>
      </c>
    </row>
    <row r="5" spans="1:8" x14ac:dyDescent="0.25">
      <c r="D5" s="35" t="s">
        <v>77</v>
      </c>
      <c r="E5" t="s">
        <v>18</v>
      </c>
      <c r="F5" t="str">
        <f>RIGHT((LEFT(D5,SEARCH("Co",D5)-1)),LEN((LEFT(D5,SEARCH("Co",D5)-1)))-SEARCH("r",D5))</f>
        <v>322</v>
      </c>
    </row>
    <row r="6" spans="1:8" x14ac:dyDescent="0.25">
      <c r="E6" t="s">
        <v>19</v>
      </c>
      <c r="F6" t="str">
        <f>RIGHT((LEFT(D5,SEARCH("Mx",D5)-1)),LEN((LEFT(D5,SEARCH("Mx",D5)-1)))-SEARCH("o",D5))</f>
        <v>4333</v>
      </c>
    </row>
    <row r="7" spans="1:8" x14ac:dyDescent="0.25">
      <c r="A7" s="103">
        <v>32392</v>
      </c>
      <c r="C7" s="35" t="s">
        <v>83</v>
      </c>
      <c r="E7" t="s">
        <v>20</v>
      </c>
      <c r="F7" t="str">
        <f>RIGHT((LEFT(D5,SEARCH("My",D5)-1)),LEN((LEFT(D5,SEARCH("My",D5)-1)))-SEARCH("x",D5))</f>
        <v>3</v>
      </c>
    </row>
    <row r="8" spans="1:8" x14ac:dyDescent="0.25">
      <c r="E8" t="s">
        <v>52</v>
      </c>
      <c r="F8" s="35" t="str">
        <f>RIGHT((LEFT(D5,SEARCH("&gt;",D5)-1)),LEN((LEFT(D5,SEARCH("&gt;",D5)-1)))-SEARCH("y",D5))</f>
        <v>0</v>
      </c>
      <c r="H8" t="s">
        <v>79</v>
      </c>
    </row>
    <row r="10" spans="1:8" x14ac:dyDescent="0.25">
      <c r="H10" s="35" t="s">
        <v>83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F211"/>
  <sheetViews>
    <sheetView showGridLines="0" zoomScaleNormal="100" workbookViewId="0">
      <pane xSplit="2" ySplit="2" topLeftCell="C17" activePane="bottomRight" state="frozen"/>
      <selection pane="topRight" activeCell="C1" sqref="C1"/>
      <selection pane="bottomLeft" activeCell="A3" sqref="A3"/>
      <selection pane="bottomRight" activeCell="H29" sqref="H29"/>
    </sheetView>
  </sheetViews>
  <sheetFormatPr defaultRowHeight="15" x14ac:dyDescent="0.25"/>
  <cols>
    <col min="1" max="1" width="12.85546875" bestFit="1" customWidth="1"/>
    <col min="2" max="2" width="12.28515625" bestFit="1" customWidth="1"/>
    <col min="3" max="3" width="11.28515625" bestFit="1" customWidth="1"/>
    <col min="4" max="4" width="13.140625" bestFit="1" customWidth="1"/>
    <col min="5" max="5" width="14.7109375" bestFit="1" customWidth="1"/>
    <col min="6" max="7" width="19.140625" customWidth="1"/>
    <col min="8" max="8" width="18.5703125" customWidth="1"/>
    <col min="9" max="9" width="16.42578125" style="35" customWidth="1"/>
    <col min="10" max="10" width="15.28515625" bestFit="1" customWidth="1"/>
    <col min="11" max="11" width="19.28515625" bestFit="1" customWidth="1"/>
    <col min="12" max="12" width="21" bestFit="1" customWidth="1"/>
    <col min="13" max="13" width="19.42578125" bestFit="1" customWidth="1"/>
    <col min="14" max="14" width="12.140625" customWidth="1"/>
    <col min="15" max="15" width="10.5703125" bestFit="1" customWidth="1"/>
    <col min="16" max="16" width="8.5703125" bestFit="1" customWidth="1"/>
    <col min="17" max="17" width="9.140625" bestFit="1" customWidth="1"/>
    <col min="18" max="18" width="24" bestFit="1" customWidth="1"/>
    <col min="19" max="19" width="14.85546875" bestFit="1" customWidth="1"/>
    <col min="20" max="20" width="12" bestFit="1" customWidth="1"/>
    <col min="21" max="21" width="17.85546875" bestFit="1" customWidth="1"/>
    <col min="22" max="22" width="16.140625" bestFit="1" customWidth="1"/>
    <col min="23" max="23" width="13.42578125" style="35" bestFit="1" customWidth="1"/>
    <col min="24" max="24" width="16.5703125" style="35" bestFit="1" customWidth="1"/>
    <col min="25" max="25" width="16.5703125" style="35" customWidth="1"/>
    <col min="26" max="26" width="23.85546875" bestFit="1" customWidth="1"/>
    <col min="27" max="27" width="19.85546875" bestFit="1" customWidth="1"/>
    <col min="28" max="28" width="15.85546875" bestFit="1" customWidth="1"/>
    <col min="29" max="29" width="16.7109375" bestFit="1" customWidth="1"/>
    <col min="30" max="30" width="21" bestFit="1" customWidth="1"/>
    <col min="31" max="31" width="19.42578125" bestFit="1" customWidth="1"/>
    <col min="32" max="32" width="26.28515625" bestFit="1" customWidth="1"/>
  </cols>
  <sheetData>
    <row r="1" spans="1:32" s="1" customFormat="1" ht="15.75" thickBot="1" x14ac:dyDescent="0.3">
      <c r="C1" s="1" t="s">
        <v>85</v>
      </c>
      <c r="D1" s="1" t="s">
        <v>86</v>
      </c>
      <c r="E1" s="1" t="s">
        <v>87</v>
      </c>
      <c r="F1" s="1" t="s">
        <v>88</v>
      </c>
      <c r="G1" s="1" t="s">
        <v>89</v>
      </c>
      <c r="H1" s="1" t="s">
        <v>90</v>
      </c>
      <c r="I1" s="1" t="s">
        <v>460</v>
      </c>
      <c r="J1" s="1" t="s">
        <v>91</v>
      </c>
      <c r="K1" s="1" t="s">
        <v>100</v>
      </c>
      <c r="L1" s="1" t="s">
        <v>92</v>
      </c>
      <c r="M1" s="1" t="s">
        <v>93</v>
      </c>
      <c r="N1" s="1" t="s">
        <v>94</v>
      </c>
      <c r="O1" s="1" t="s">
        <v>95</v>
      </c>
      <c r="P1" s="1" t="s">
        <v>96</v>
      </c>
      <c r="Q1" s="1" t="s">
        <v>97</v>
      </c>
      <c r="R1" s="1" t="s">
        <v>98</v>
      </c>
      <c r="S1" s="1" t="s">
        <v>99</v>
      </c>
      <c r="T1" s="1" t="s">
        <v>101</v>
      </c>
      <c r="U1" s="1" t="s">
        <v>102</v>
      </c>
      <c r="V1" s="1" t="s">
        <v>458</v>
      </c>
      <c r="W1" s="1" t="s">
        <v>459</v>
      </c>
      <c r="X1" s="1" t="s">
        <v>461</v>
      </c>
      <c r="Y1" s="1" t="s">
        <v>467</v>
      </c>
    </row>
    <row r="2" spans="1:32" s="104" customFormat="1" ht="36" customHeight="1" thickBot="1" x14ac:dyDescent="0.3">
      <c r="B2" s="105"/>
      <c r="C2" s="166"/>
      <c r="D2" s="208"/>
      <c r="E2" s="166" t="s">
        <v>105</v>
      </c>
      <c r="F2" s="166" t="s">
        <v>106</v>
      </c>
      <c r="G2" s="165"/>
      <c r="H2" s="165"/>
      <c r="I2" s="165"/>
      <c r="J2" s="165"/>
      <c r="K2" s="166"/>
      <c r="L2" s="167"/>
      <c r="M2" s="167"/>
      <c r="N2" s="166" t="s">
        <v>23</v>
      </c>
      <c r="O2" s="165"/>
      <c r="P2" s="165"/>
      <c r="Q2" s="165"/>
      <c r="R2" s="167" t="s">
        <v>107</v>
      </c>
      <c r="S2" s="166" t="s">
        <v>118</v>
      </c>
      <c r="T2" s="165"/>
      <c r="U2" s="168" t="s">
        <v>103</v>
      </c>
      <c r="V2" s="168"/>
      <c r="W2" s="168"/>
      <c r="X2" s="168"/>
      <c r="Y2" s="168" t="s">
        <v>104</v>
      </c>
      <c r="Z2" s="169" t="s">
        <v>108</v>
      </c>
      <c r="AA2" s="174" t="s">
        <v>109</v>
      </c>
      <c r="AB2" s="174" t="s">
        <v>110</v>
      </c>
      <c r="AC2" s="175" t="s">
        <v>119</v>
      </c>
      <c r="AD2" s="174" t="s">
        <v>116</v>
      </c>
      <c r="AE2" s="174" t="s">
        <v>117</v>
      </c>
      <c r="AF2" s="176" t="s">
        <v>115</v>
      </c>
    </row>
    <row r="3" spans="1:32" x14ac:dyDescent="0.25">
      <c r="A3" s="329" t="s">
        <v>31</v>
      </c>
      <c r="B3" s="12">
        <v>42000</v>
      </c>
      <c r="C3" s="209">
        <v>5</v>
      </c>
      <c r="D3" s="6">
        <v>5</v>
      </c>
      <c r="E3" s="205">
        <v>6</v>
      </c>
      <c r="F3" s="136">
        <v>19</v>
      </c>
      <c r="G3" s="136">
        <v>6</v>
      </c>
      <c r="H3" s="136">
        <v>18</v>
      </c>
      <c r="I3" s="136">
        <v>417</v>
      </c>
      <c r="J3" s="136">
        <v>3591</v>
      </c>
      <c r="K3" s="136">
        <v>17</v>
      </c>
      <c r="L3" s="138">
        <v>7</v>
      </c>
      <c r="M3" s="138">
        <v>0</v>
      </c>
      <c r="N3" s="136">
        <v>7</v>
      </c>
      <c r="O3" s="136">
        <v>36</v>
      </c>
      <c r="P3" s="136">
        <v>46</v>
      </c>
      <c r="Q3" s="136">
        <v>131</v>
      </c>
      <c r="R3" s="136">
        <v>21868</v>
      </c>
      <c r="S3" s="136">
        <v>46</v>
      </c>
      <c r="T3" s="136">
        <v>0</v>
      </c>
      <c r="U3" s="136">
        <v>33</v>
      </c>
      <c r="V3" s="136">
        <v>26</v>
      </c>
      <c r="W3" s="136">
        <v>17</v>
      </c>
      <c r="X3" s="136">
        <v>18457</v>
      </c>
      <c r="Y3" s="136">
        <v>14</v>
      </c>
      <c r="Z3" s="163">
        <f>IF(E3=0,0,F3/E3)</f>
        <v>3.1666666666666665</v>
      </c>
      <c r="AA3" s="106">
        <f>IF(P3=0,0,E3/P3)</f>
        <v>0.13043478260869565</v>
      </c>
      <c r="AB3" s="115">
        <f>IF(W3=0,0,(I3/W3)*$L$46)</f>
        <v>7.4750729963117655</v>
      </c>
      <c r="AC3" s="131">
        <f>IF(X3=0,0,T3/X3)</f>
        <v>0</v>
      </c>
      <c r="AD3" s="131">
        <f>IF(V3=0,0,L3/V3)</f>
        <v>0.26923076923076922</v>
      </c>
      <c r="AE3" s="131">
        <f>IF(V3=0,0,M3/V3)</f>
        <v>0</v>
      </c>
      <c r="AF3" s="150">
        <f>IF(F3=0,0,J3/F3)</f>
        <v>189</v>
      </c>
    </row>
    <row r="4" spans="1:32" x14ac:dyDescent="0.25">
      <c r="A4" s="330"/>
      <c r="B4" s="13">
        <v>41993</v>
      </c>
      <c r="C4" s="206">
        <v>21</v>
      </c>
      <c r="D4" s="8">
        <v>16</v>
      </c>
      <c r="E4" s="206">
        <v>44</v>
      </c>
      <c r="F4" s="3">
        <v>144</v>
      </c>
      <c r="G4" s="3">
        <v>32</v>
      </c>
      <c r="H4" s="3">
        <v>87</v>
      </c>
      <c r="I4" s="3">
        <v>2914</v>
      </c>
      <c r="J4" s="115">
        <v>26223</v>
      </c>
      <c r="K4" s="115">
        <v>124</v>
      </c>
      <c r="L4" s="129">
        <v>25</v>
      </c>
      <c r="M4" s="130">
        <v>30</v>
      </c>
      <c r="N4" s="130">
        <v>12</v>
      </c>
      <c r="O4" s="3">
        <v>67</v>
      </c>
      <c r="P4" s="3">
        <v>109</v>
      </c>
      <c r="Q4" s="3">
        <v>204</v>
      </c>
      <c r="R4" s="3">
        <v>22825</v>
      </c>
      <c r="S4" s="3">
        <v>52</v>
      </c>
      <c r="T4" s="3">
        <v>0</v>
      </c>
      <c r="U4" s="3">
        <v>51</v>
      </c>
      <c r="V4" s="3">
        <v>199</v>
      </c>
      <c r="W4" s="3">
        <v>124</v>
      </c>
      <c r="X4" s="3">
        <v>18020</v>
      </c>
      <c r="Y4" s="3">
        <v>74</v>
      </c>
      <c r="Z4" s="161">
        <f t="shared" ref="Z4:Z11" si="0">IF(E4=0,0,F4/E4)</f>
        <v>3.2727272727272729</v>
      </c>
      <c r="AA4" s="106">
        <f>IF(P4=0,0,E4/P4)</f>
        <v>0.40366972477064222</v>
      </c>
      <c r="AB4" s="115">
        <f>IF(W4=0,0,(I4/W4)*$L$46)</f>
        <v>7.1613708921499999</v>
      </c>
      <c r="AC4" s="131">
        <f t="shared" ref="AC4:AC10" si="1">IF(X4=0,0,T4/X4)</f>
        <v>0</v>
      </c>
      <c r="AD4" s="131">
        <f t="shared" ref="AD4:AD11" si="2">IF(V4=0,0,L4/V4)</f>
        <v>0.12562814070351758</v>
      </c>
      <c r="AE4" s="131">
        <f>IF(V4=0,0,M4/V4)</f>
        <v>0.15075376884422109</v>
      </c>
      <c r="AF4" s="150">
        <f>IF(F4=0,0,J4/F4)</f>
        <v>182.10416666666666</v>
      </c>
    </row>
    <row r="5" spans="1:32" ht="15.75" thickBot="1" x14ac:dyDescent="0.3">
      <c r="A5" s="331"/>
      <c r="B5" s="211">
        <v>41972</v>
      </c>
      <c r="C5" s="210">
        <v>13</v>
      </c>
      <c r="D5" s="11">
        <v>6</v>
      </c>
      <c r="E5" s="207">
        <v>14</v>
      </c>
      <c r="F5" s="37">
        <v>23</v>
      </c>
      <c r="G5" s="37">
        <v>21</v>
      </c>
      <c r="H5" s="37">
        <v>41</v>
      </c>
      <c r="I5" s="37">
        <v>390</v>
      </c>
      <c r="J5" s="142">
        <v>3164</v>
      </c>
      <c r="K5" s="142">
        <v>22</v>
      </c>
      <c r="L5" s="143">
        <v>2</v>
      </c>
      <c r="M5" s="144">
        <v>3</v>
      </c>
      <c r="N5" s="144">
        <v>7</v>
      </c>
      <c r="O5" s="37">
        <v>37</v>
      </c>
      <c r="P5" s="37">
        <v>51</v>
      </c>
      <c r="Q5" s="37">
        <v>143</v>
      </c>
      <c r="R5" s="37">
        <v>8401</v>
      </c>
      <c r="S5" s="37">
        <v>49</v>
      </c>
      <c r="T5" s="37">
        <v>0</v>
      </c>
      <c r="U5" s="37">
        <v>30</v>
      </c>
      <c r="V5" s="37">
        <v>28</v>
      </c>
      <c r="W5" s="37">
        <v>22</v>
      </c>
      <c r="X5" s="37">
        <v>15156</v>
      </c>
      <c r="Y5" s="37">
        <v>35</v>
      </c>
      <c r="Z5" s="164">
        <f t="shared" si="0"/>
        <v>1.6428571428571428</v>
      </c>
      <c r="AA5" s="145">
        <f t="shared" ref="AA5:AA11" si="3">IF(P5=0,0,E5/P5)</f>
        <v>0.27450980392156865</v>
      </c>
      <c r="AB5" s="142">
        <f>IF(W5=0,0,(I5/W5)*$L$46)</f>
        <v>5.4021946768636369</v>
      </c>
      <c r="AC5" s="146">
        <f t="shared" si="1"/>
        <v>0</v>
      </c>
      <c r="AD5" s="146">
        <f t="shared" si="2"/>
        <v>7.1428571428571425E-2</v>
      </c>
      <c r="AE5" s="146">
        <f t="shared" ref="AE5:AE11" si="4">IF(V5=0,0,M5/V5)</f>
        <v>0.10714285714285714</v>
      </c>
      <c r="AF5" s="153">
        <f>IF(F5=0,0,J5/F5)</f>
        <v>137.56521739130434</v>
      </c>
    </row>
    <row r="6" spans="1:32" x14ac:dyDescent="0.25">
      <c r="A6" s="332" t="s">
        <v>19</v>
      </c>
      <c r="B6" s="12">
        <v>42000</v>
      </c>
      <c r="C6" s="205">
        <v>3</v>
      </c>
      <c r="D6" s="136">
        <v>5</v>
      </c>
      <c r="E6" s="5">
        <v>6</v>
      </c>
      <c r="F6" s="5">
        <v>19</v>
      </c>
      <c r="G6" s="5">
        <v>3</v>
      </c>
      <c r="H6" s="5">
        <v>12</v>
      </c>
      <c r="I6" s="5">
        <v>349400</v>
      </c>
      <c r="J6" s="126">
        <v>4531</v>
      </c>
      <c r="K6" s="126">
        <v>10</v>
      </c>
      <c r="L6" s="125">
        <v>0</v>
      </c>
      <c r="M6" s="147">
        <v>2</v>
      </c>
      <c r="N6" s="147">
        <v>8</v>
      </c>
      <c r="O6" s="5">
        <v>15</v>
      </c>
      <c r="P6" s="5">
        <v>20</v>
      </c>
      <c r="Q6" s="5">
        <v>48</v>
      </c>
      <c r="R6" s="5">
        <v>12693</v>
      </c>
      <c r="S6" s="5">
        <v>46</v>
      </c>
      <c r="T6" s="5">
        <v>0</v>
      </c>
      <c r="U6" s="5">
        <v>19</v>
      </c>
      <c r="V6" s="5">
        <v>21</v>
      </c>
      <c r="W6" s="5">
        <v>10</v>
      </c>
      <c r="X6" s="5">
        <v>5992</v>
      </c>
      <c r="Y6" s="5">
        <v>7</v>
      </c>
      <c r="Z6" s="160">
        <f t="shared" si="0"/>
        <v>3.1666666666666665</v>
      </c>
      <c r="AA6" s="127">
        <f t="shared" si="3"/>
        <v>0.3</v>
      </c>
      <c r="AB6" s="126">
        <f>IF(W6=0,0,(I6/W6)*$L$47)</f>
        <v>12.116811154000001</v>
      </c>
      <c r="AC6" s="128">
        <f t="shared" si="1"/>
        <v>0</v>
      </c>
      <c r="AD6" s="128">
        <f t="shared" si="2"/>
        <v>0</v>
      </c>
      <c r="AE6" s="128">
        <f t="shared" si="4"/>
        <v>9.5238095238095233E-2</v>
      </c>
      <c r="AF6" s="149">
        <f t="shared" ref="AF6:AF11" si="5">IF(F6=0,0,J6/F6)</f>
        <v>238.47368421052633</v>
      </c>
    </row>
    <row r="7" spans="1:32" x14ac:dyDescent="0.25">
      <c r="A7" s="330"/>
      <c r="B7" s="13">
        <v>41993</v>
      </c>
      <c r="C7" s="206">
        <v>7</v>
      </c>
      <c r="D7" s="3">
        <v>16</v>
      </c>
      <c r="E7" s="3">
        <v>19</v>
      </c>
      <c r="F7" s="3">
        <v>55</v>
      </c>
      <c r="G7" s="3">
        <v>4</v>
      </c>
      <c r="H7" s="3">
        <v>13</v>
      </c>
      <c r="I7" s="3">
        <v>1194500</v>
      </c>
      <c r="J7" s="115">
        <v>14264</v>
      </c>
      <c r="K7" s="115">
        <v>41</v>
      </c>
      <c r="L7" s="129">
        <v>1</v>
      </c>
      <c r="M7" s="130">
        <v>2</v>
      </c>
      <c r="N7" s="130">
        <v>9</v>
      </c>
      <c r="O7" s="3">
        <v>35</v>
      </c>
      <c r="P7" s="3">
        <v>46</v>
      </c>
      <c r="Q7" s="3">
        <v>104</v>
      </c>
      <c r="R7" s="3">
        <v>12201</v>
      </c>
      <c r="S7" s="3">
        <v>56</v>
      </c>
      <c r="T7" s="3">
        <v>0</v>
      </c>
      <c r="U7" s="3">
        <v>26</v>
      </c>
      <c r="V7" s="3">
        <v>58</v>
      </c>
      <c r="W7" s="3">
        <v>41</v>
      </c>
      <c r="X7" s="3">
        <v>5573</v>
      </c>
      <c r="Y7" s="3">
        <v>12</v>
      </c>
      <c r="Z7" s="161">
        <f t="shared" si="0"/>
        <v>2.8947368421052633</v>
      </c>
      <c r="AA7" s="106">
        <f t="shared" si="3"/>
        <v>0.41304347826086957</v>
      </c>
      <c r="AB7" s="115">
        <f>IF(W7=0,0,(I7/W7)*$L$47)</f>
        <v>10.103404389024391</v>
      </c>
      <c r="AC7" s="131">
        <f t="shared" si="1"/>
        <v>0</v>
      </c>
      <c r="AD7" s="131">
        <f t="shared" si="2"/>
        <v>1.7241379310344827E-2</v>
      </c>
      <c r="AE7" s="131">
        <f t="shared" si="4"/>
        <v>3.4482758620689655E-2</v>
      </c>
      <c r="AF7" s="150">
        <f t="shared" si="5"/>
        <v>259.34545454545457</v>
      </c>
    </row>
    <row r="8" spans="1:32" ht="15.75" thickBot="1" x14ac:dyDescent="0.3">
      <c r="A8" s="331"/>
      <c r="B8" s="211">
        <v>41972</v>
      </c>
      <c r="C8" s="210">
        <v>1</v>
      </c>
      <c r="D8" s="10">
        <v>6</v>
      </c>
      <c r="E8" s="10">
        <v>9</v>
      </c>
      <c r="F8" s="10">
        <v>22</v>
      </c>
      <c r="G8" s="10">
        <v>1</v>
      </c>
      <c r="H8" s="10">
        <v>1</v>
      </c>
      <c r="I8" s="10">
        <v>220500</v>
      </c>
      <c r="J8" s="132">
        <v>2625</v>
      </c>
      <c r="K8" s="132">
        <v>13</v>
      </c>
      <c r="L8" s="133">
        <v>0</v>
      </c>
      <c r="M8" s="134">
        <v>0</v>
      </c>
      <c r="N8" s="134">
        <v>4</v>
      </c>
      <c r="O8" s="10">
        <v>19</v>
      </c>
      <c r="P8" s="10">
        <v>23</v>
      </c>
      <c r="Q8" s="10">
        <v>47</v>
      </c>
      <c r="R8" s="10">
        <v>3542</v>
      </c>
      <c r="S8" s="10">
        <v>19</v>
      </c>
      <c r="T8" s="10">
        <v>0</v>
      </c>
      <c r="U8" s="10">
        <v>8</v>
      </c>
      <c r="V8" s="10">
        <v>22</v>
      </c>
      <c r="W8" s="10">
        <v>13</v>
      </c>
      <c r="X8" s="10">
        <v>3891</v>
      </c>
      <c r="Y8" s="10">
        <v>1</v>
      </c>
      <c r="Z8" s="162">
        <f t="shared" si="0"/>
        <v>2.4444444444444446</v>
      </c>
      <c r="AA8" s="107">
        <f t="shared" si="3"/>
        <v>0.39130434782608697</v>
      </c>
      <c r="AB8" s="132">
        <f>IF(W8=0,0,(I8/W8)*$L$47)</f>
        <v>5.8820766576923074</v>
      </c>
      <c r="AC8" s="135">
        <f t="shared" si="1"/>
        <v>0</v>
      </c>
      <c r="AD8" s="135">
        <f t="shared" si="2"/>
        <v>0</v>
      </c>
      <c r="AE8" s="135">
        <f t="shared" si="4"/>
        <v>0</v>
      </c>
      <c r="AF8" s="151">
        <f t="shared" si="5"/>
        <v>119.31818181818181</v>
      </c>
    </row>
    <row r="9" spans="1:32" x14ac:dyDescent="0.25">
      <c r="A9" s="332" t="s">
        <v>20</v>
      </c>
      <c r="B9" s="12">
        <v>42000</v>
      </c>
      <c r="C9" s="205">
        <v>0</v>
      </c>
      <c r="D9" s="136">
        <v>1</v>
      </c>
      <c r="E9" s="136">
        <v>2</v>
      </c>
      <c r="F9" s="136">
        <v>5</v>
      </c>
      <c r="G9" s="136">
        <v>0</v>
      </c>
      <c r="H9" s="136">
        <v>0</v>
      </c>
      <c r="I9" s="136">
        <v>33</v>
      </c>
      <c r="J9" s="137">
        <v>116</v>
      </c>
      <c r="K9" s="137">
        <v>2</v>
      </c>
      <c r="L9" s="138">
        <v>0</v>
      </c>
      <c r="M9" s="139">
        <v>0</v>
      </c>
      <c r="N9" s="139">
        <v>2</v>
      </c>
      <c r="O9" s="136">
        <v>6</v>
      </c>
      <c r="P9" s="136">
        <v>8</v>
      </c>
      <c r="Q9" s="136">
        <v>23</v>
      </c>
      <c r="R9" s="136">
        <v>5414</v>
      </c>
      <c r="S9" s="136">
        <v>12</v>
      </c>
      <c r="T9" s="136">
        <v>0</v>
      </c>
      <c r="U9" s="136">
        <v>8</v>
      </c>
      <c r="V9" s="136">
        <v>5</v>
      </c>
      <c r="W9" s="136">
        <v>2</v>
      </c>
      <c r="X9" s="136">
        <v>1427</v>
      </c>
      <c r="Y9" s="136">
        <v>0</v>
      </c>
      <c r="Z9" s="163">
        <f t="shared" si="0"/>
        <v>2.5</v>
      </c>
      <c r="AA9" s="140">
        <f t="shared" si="3"/>
        <v>0.25</v>
      </c>
      <c r="AB9" s="137">
        <f>IF(W9=0,0,(I9/W9)*$L$48)</f>
        <v>0.92045760345000005</v>
      </c>
      <c r="AC9" s="141">
        <f t="shared" si="1"/>
        <v>0</v>
      </c>
      <c r="AD9" s="141">
        <f t="shared" si="2"/>
        <v>0</v>
      </c>
      <c r="AE9" s="141">
        <f t="shared" si="4"/>
        <v>0</v>
      </c>
      <c r="AF9" s="152">
        <f t="shared" si="5"/>
        <v>23.2</v>
      </c>
    </row>
    <row r="10" spans="1:32" x14ac:dyDescent="0.25">
      <c r="A10" s="330"/>
      <c r="B10" s="13">
        <v>41993</v>
      </c>
      <c r="C10" s="206">
        <v>1</v>
      </c>
      <c r="D10" s="3">
        <v>5</v>
      </c>
      <c r="E10" s="3">
        <v>5</v>
      </c>
      <c r="F10" s="3">
        <v>14</v>
      </c>
      <c r="G10" s="3">
        <v>2</v>
      </c>
      <c r="H10" s="3">
        <v>6</v>
      </c>
      <c r="I10" s="3">
        <v>427</v>
      </c>
      <c r="J10" s="115">
        <v>1342</v>
      </c>
      <c r="K10" s="115">
        <v>8</v>
      </c>
      <c r="L10" s="129">
        <v>0</v>
      </c>
      <c r="M10" s="130">
        <v>0</v>
      </c>
      <c r="N10" s="130">
        <v>3</v>
      </c>
      <c r="O10" s="3">
        <v>20</v>
      </c>
      <c r="P10" s="3">
        <v>23</v>
      </c>
      <c r="Q10" s="3">
        <v>63</v>
      </c>
      <c r="R10" s="3">
        <v>1670</v>
      </c>
      <c r="S10" s="3">
        <v>6</v>
      </c>
      <c r="T10" s="3">
        <v>0</v>
      </c>
      <c r="U10" s="3">
        <v>4</v>
      </c>
      <c r="V10" s="3">
        <v>14</v>
      </c>
      <c r="W10" s="3">
        <v>8</v>
      </c>
      <c r="X10" s="3">
        <v>1372</v>
      </c>
      <c r="Y10" s="3">
        <v>3</v>
      </c>
      <c r="Z10" s="161">
        <f t="shared" si="0"/>
        <v>2.8</v>
      </c>
      <c r="AA10" s="106">
        <f t="shared" si="3"/>
        <v>0.21739130434782608</v>
      </c>
      <c r="AB10" s="115">
        <f>IF(W10=0,0,(I10/W10)*$L$48)</f>
        <v>2.9775408838874999</v>
      </c>
      <c r="AC10" s="131">
        <f t="shared" si="1"/>
        <v>0</v>
      </c>
      <c r="AD10" s="131">
        <f t="shared" si="2"/>
        <v>0</v>
      </c>
      <c r="AE10" s="131">
        <f t="shared" si="4"/>
        <v>0</v>
      </c>
      <c r="AF10" s="150">
        <f t="shared" si="5"/>
        <v>95.857142857142861</v>
      </c>
    </row>
    <row r="11" spans="1:32" ht="15.75" thickBot="1" x14ac:dyDescent="0.3">
      <c r="A11" s="333"/>
      <c r="B11" s="225">
        <v>41972</v>
      </c>
      <c r="C11" s="207">
        <v>2</v>
      </c>
      <c r="D11" s="37">
        <v>4</v>
      </c>
      <c r="E11" s="37">
        <v>4</v>
      </c>
      <c r="F11" s="37">
        <v>10</v>
      </c>
      <c r="G11" s="37">
        <v>3</v>
      </c>
      <c r="H11" s="37">
        <v>8</v>
      </c>
      <c r="I11" s="37">
        <v>623</v>
      </c>
      <c r="J11" s="142">
        <v>1514</v>
      </c>
      <c r="K11" s="142">
        <v>4</v>
      </c>
      <c r="L11" s="143">
        <v>0</v>
      </c>
      <c r="M11" s="144">
        <v>0</v>
      </c>
      <c r="N11" s="144">
        <v>8</v>
      </c>
      <c r="O11" s="37">
        <v>8</v>
      </c>
      <c r="P11" s="37">
        <v>14</v>
      </c>
      <c r="Q11" s="37">
        <v>36</v>
      </c>
      <c r="R11" s="37">
        <v>17048</v>
      </c>
      <c r="S11" s="37">
        <v>11</v>
      </c>
      <c r="T11" s="37">
        <v>0</v>
      </c>
      <c r="U11" s="37">
        <v>14</v>
      </c>
      <c r="V11" s="37">
        <v>10</v>
      </c>
      <c r="W11" s="37">
        <v>4</v>
      </c>
      <c r="X11" s="37">
        <v>1026</v>
      </c>
      <c r="Y11" s="37">
        <v>3</v>
      </c>
      <c r="Z11" s="164">
        <f t="shared" si="0"/>
        <v>2.5</v>
      </c>
      <c r="AA11" s="145">
        <f t="shared" si="3"/>
        <v>0.2857142857142857</v>
      </c>
      <c r="AB11" s="142">
        <f>IF(W11=0,0,(I11/W11)*$L$48)</f>
        <v>8.6885619234749996</v>
      </c>
      <c r="AC11" s="146">
        <f>IF(X11=0,0,T11/X11)</f>
        <v>0</v>
      </c>
      <c r="AD11" s="146">
        <f t="shared" si="2"/>
        <v>0</v>
      </c>
      <c r="AE11" s="146">
        <f t="shared" si="4"/>
        <v>0</v>
      </c>
      <c r="AF11" s="153">
        <f t="shared" si="5"/>
        <v>151.4</v>
      </c>
    </row>
    <row r="12" spans="1:32" x14ac:dyDescent="0.25">
      <c r="A12" s="329" t="s">
        <v>52</v>
      </c>
      <c r="B12" s="12">
        <v>42000</v>
      </c>
      <c r="C12" s="209">
        <v>19</v>
      </c>
      <c r="D12" s="5">
        <v>9</v>
      </c>
      <c r="E12" s="5">
        <v>11</v>
      </c>
      <c r="F12" s="5">
        <v>36</v>
      </c>
      <c r="G12" s="5">
        <v>10</v>
      </c>
      <c r="H12" s="5">
        <v>38</v>
      </c>
      <c r="I12" s="5">
        <v>202</v>
      </c>
      <c r="J12" s="126">
        <v>1503</v>
      </c>
      <c r="K12" s="126">
        <v>34</v>
      </c>
      <c r="L12" s="125">
        <v>2</v>
      </c>
      <c r="M12" s="147">
        <v>3</v>
      </c>
      <c r="N12" s="147">
        <v>3</v>
      </c>
      <c r="O12" s="5">
        <v>16</v>
      </c>
      <c r="P12" s="5">
        <v>24</v>
      </c>
      <c r="Q12" s="5">
        <v>58</v>
      </c>
      <c r="R12" s="5">
        <v>2184</v>
      </c>
      <c r="S12" s="5">
        <v>23</v>
      </c>
      <c r="T12" s="5">
        <v>0</v>
      </c>
      <c r="U12" s="5">
        <v>14</v>
      </c>
      <c r="V12" s="5">
        <v>41</v>
      </c>
      <c r="W12" s="5">
        <v>34</v>
      </c>
      <c r="X12" s="5">
        <v>2086</v>
      </c>
      <c r="Y12" s="5">
        <v>34</v>
      </c>
      <c r="Z12" s="126">
        <f>IF(E12+E24=0,0,(F12+F24)/(E12+E24))</f>
        <v>3.4117647058823528</v>
      </c>
      <c r="AA12" s="127">
        <f>IF(P12+P24=0,0,(E12+E24)/(P12+P24))</f>
        <v>0.54838709677419351</v>
      </c>
      <c r="AB12" s="126">
        <f>IF(W12+W24=0,0,((I12*$L$49+I24*$L$53)/(W12+W24)))</f>
        <v>1.9551519202272727</v>
      </c>
      <c r="AC12" s="128">
        <f>IF(X12+X24=0,0,(T12+T24)/(X12+X24))</f>
        <v>0</v>
      </c>
      <c r="AD12" s="128">
        <f>IF(V12+V24=0,0,(L12+L24)/(V12+V24))</f>
        <v>2.9850746268656716E-2</v>
      </c>
      <c r="AE12" s="128">
        <f>IF(V12+V24=0,0,(M12+M24)/(V12+V24))</f>
        <v>0.1044776119402985</v>
      </c>
      <c r="AF12" s="149">
        <f>IF(F12+F24=0,0,(J12+J24)/(F12+F24))</f>
        <v>37.482758620689658</v>
      </c>
    </row>
    <row r="13" spans="1:32" x14ac:dyDescent="0.25">
      <c r="A13" s="330"/>
      <c r="B13" s="13">
        <v>41993</v>
      </c>
      <c r="C13" s="206">
        <v>11</v>
      </c>
      <c r="D13" s="3">
        <v>9</v>
      </c>
      <c r="E13" s="3">
        <v>13</v>
      </c>
      <c r="F13" s="3">
        <v>46</v>
      </c>
      <c r="G13" s="3">
        <v>9</v>
      </c>
      <c r="H13" s="3">
        <v>29</v>
      </c>
      <c r="I13" s="3">
        <v>261</v>
      </c>
      <c r="J13" s="115">
        <v>1715</v>
      </c>
      <c r="K13" s="115">
        <v>40</v>
      </c>
      <c r="L13" s="129">
        <v>0</v>
      </c>
      <c r="M13" s="130">
        <v>8</v>
      </c>
      <c r="N13" s="130">
        <v>8</v>
      </c>
      <c r="O13" s="3">
        <v>18</v>
      </c>
      <c r="P13" s="3">
        <v>31</v>
      </c>
      <c r="Q13" s="3">
        <v>78</v>
      </c>
      <c r="R13" s="3">
        <v>4127</v>
      </c>
      <c r="S13" s="3">
        <v>40</v>
      </c>
      <c r="T13" s="3">
        <v>0</v>
      </c>
      <c r="U13" s="3">
        <v>24</v>
      </c>
      <c r="V13" s="3">
        <v>54</v>
      </c>
      <c r="W13" s="3">
        <v>40</v>
      </c>
      <c r="X13" s="3">
        <v>1851</v>
      </c>
      <c r="Y13" s="3">
        <v>25</v>
      </c>
      <c r="Z13" s="115">
        <f t="shared" ref="Z13:Z14" si="6">IF(E13+E25=0,0,(F13+F25)/(E13+E25))</f>
        <v>3.1363636363636362</v>
      </c>
      <c r="AA13" s="106">
        <f t="shared" ref="AA13:AA14" si="7">IF(P13+P25=0,0,(E13+E25)/(P13+P25))</f>
        <v>0.5641025641025641</v>
      </c>
      <c r="AB13" s="115">
        <f>IF(W13+W25=0,0,((I13*$L$49+I25*$L$53)/(W13+W25)))</f>
        <v>2.1377319018612901</v>
      </c>
      <c r="AC13" s="131">
        <f t="shared" ref="AC13:AC14" si="8">IF(X13+X25=0,0,(T13+T25)/(X13+X25))</f>
        <v>0</v>
      </c>
      <c r="AD13" s="131">
        <f t="shared" ref="AD13:AD14" si="9">IF(V13+V25=0,0,(L13+L25)/(V13+V25))</f>
        <v>0</v>
      </c>
      <c r="AE13" s="131">
        <f>IF(V13+V25=0,0,(M13+M25)/(V13+V25))</f>
        <v>0.14814814814814814</v>
      </c>
      <c r="AF13" s="150">
        <f t="shared" ref="AF13:AF14" si="10">IF(F13+F25=0,0,(J13+J25)/(F13+F25))</f>
        <v>34.869565217391305</v>
      </c>
    </row>
    <row r="14" spans="1:32" ht="15.75" thickBot="1" x14ac:dyDescent="0.3">
      <c r="A14" s="331"/>
      <c r="B14" s="211">
        <v>41972</v>
      </c>
      <c r="C14" s="210">
        <v>1</v>
      </c>
      <c r="D14" s="10">
        <v>0</v>
      </c>
      <c r="E14" s="10">
        <v>0</v>
      </c>
      <c r="F14" s="10">
        <v>0</v>
      </c>
      <c r="G14" s="10">
        <v>2</v>
      </c>
      <c r="H14" s="10">
        <v>2</v>
      </c>
      <c r="I14" s="10">
        <v>0</v>
      </c>
      <c r="J14" s="132">
        <v>0</v>
      </c>
      <c r="K14" s="132">
        <v>0</v>
      </c>
      <c r="L14" s="133">
        <v>0</v>
      </c>
      <c r="M14" s="134">
        <v>0</v>
      </c>
      <c r="N14" s="134">
        <v>3</v>
      </c>
      <c r="O14" s="10">
        <v>11</v>
      </c>
      <c r="P14" s="10">
        <v>19</v>
      </c>
      <c r="Q14" s="10">
        <v>67</v>
      </c>
      <c r="R14" s="10">
        <v>662</v>
      </c>
      <c r="S14" s="10">
        <v>40</v>
      </c>
      <c r="T14" s="10">
        <v>0</v>
      </c>
      <c r="U14" s="10">
        <v>11</v>
      </c>
      <c r="V14" s="10">
        <v>0</v>
      </c>
      <c r="W14" s="10">
        <v>0</v>
      </c>
      <c r="X14" s="10">
        <v>1087</v>
      </c>
      <c r="Y14" s="10">
        <v>2</v>
      </c>
      <c r="Z14" s="132">
        <f t="shared" si="6"/>
        <v>1.3333333333333333</v>
      </c>
      <c r="AA14" s="107">
        <f t="shared" si="7"/>
        <v>0.1</v>
      </c>
      <c r="AB14" s="132">
        <f>IF(W14+W26=0,0,((I14*$L$49+I26*$L$53)/(W14+W26)))</f>
        <v>1.4458968745666667</v>
      </c>
      <c r="AC14" s="135">
        <f t="shared" si="8"/>
        <v>0</v>
      </c>
      <c r="AD14" s="135">
        <f t="shared" si="9"/>
        <v>0</v>
      </c>
      <c r="AE14" s="135">
        <f t="shared" ref="AE14" si="11">IF(V14+V26=0,0,(M14+M26)/(V14+V26))</f>
        <v>0</v>
      </c>
      <c r="AF14" s="151">
        <f t="shared" si="10"/>
        <v>12</v>
      </c>
    </row>
    <row r="15" spans="1:32" s="35" customFormat="1" x14ac:dyDescent="0.25">
      <c r="A15" s="332" t="s">
        <v>468</v>
      </c>
      <c r="B15" s="235">
        <v>42000</v>
      </c>
      <c r="C15" s="205">
        <v>9</v>
      </c>
      <c r="D15" s="136">
        <v>2</v>
      </c>
      <c r="E15" s="136">
        <v>7</v>
      </c>
      <c r="F15" s="136">
        <v>18</v>
      </c>
      <c r="G15" s="136">
        <v>15</v>
      </c>
      <c r="H15" s="136">
        <v>33</v>
      </c>
      <c r="I15" s="136">
        <v>49392</v>
      </c>
      <c r="J15" s="137">
        <v>2379</v>
      </c>
      <c r="K15" s="137">
        <v>14</v>
      </c>
      <c r="L15" s="138">
        <v>1</v>
      </c>
      <c r="M15" s="139">
        <v>3</v>
      </c>
      <c r="N15" s="139">
        <v>2</v>
      </c>
      <c r="O15" s="136">
        <v>15</v>
      </c>
      <c r="P15" s="136">
        <v>24</v>
      </c>
      <c r="Q15" s="136">
        <v>60</v>
      </c>
      <c r="R15" s="136">
        <v>5532</v>
      </c>
      <c r="S15" s="136">
        <v>37</v>
      </c>
      <c r="T15" s="136">
        <v>0</v>
      </c>
      <c r="U15" s="136">
        <v>13</v>
      </c>
      <c r="V15" s="136">
        <v>22</v>
      </c>
      <c r="W15" s="136">
        <v>14</v>
      </c>
      <c r="X15" s="136">
        <v>3279</v>
      </c>
      <c r="Y15" s="136">
        <v>23</v>
      </c>
      <c r="Z15" s="137">
        <f t="shared" ref="Z15:Z17" si="12">IF(E15=0,0,F15/E15)</f>
        <v>2.5714285714285716</v>
      </c>
      <c r="AA15" s="140">
        <f t="shared" ref="AA15:AA17" si="13">IF(P15=0,0,E15/P15)</f>
        <v>0.29166666666666669</v>
      </c>
      <c r="AB15" s="137">
        <f>IF(W15=0,0,(I15/W15)*$L$50)</f>
        <v>4.7707337664000002</v>
      </c>
      <c r="AC15" s="141">
        <f t="shared" ref="AC15:AC17" si="14">IF(X15=0,0,T15/X15)</f>
        <v>0</v>
      </c>
      <c r="AD15" s="141">
        <f t="shared" ref="AD15:AD17" si="15">IF(V15=0,0,L15/V15)</f>
        <v>4.5454545454545456E-2</v>
      </c>
      <c r="AE15" s="141">
        <f t="shared" ref="AE15:AE17" si="16">IF(V15=0,0,M15/V15)</f>
        <v>0.13636363636363635</v>
      </c>
      <c r="AF15" s="152">
        <f t="shared" ref="AF15:AF17" si="17">IF(F15=0,0,J15/F15)</f>
        <v>132.16666666666666</v>
      </c>
    </row>
    <row r="16" spans="1:32" s="35" customFormat="1" x14ac:dyDescent="0.25">
      <c r="A16" s="330"/>
      <c r="B16" s="13">
        <v>41993</v>
      </c>
      <c r="C16" s="206">
        <v>18</v>
      </c>
      <c r="D16" s="3">
        <v>10</v>
      </c>
      <c r="E16" s="3">
        <v>31</v>
      </c>
      <c r="F16" s="3">
        <v>87</v>
      </c>
      <c r="G16" s="3">
        <v>19</v>
      </c>
      <c r="H16" s="3">
        <v>47</v>
      </c>
      <c r="I16" s="3">
        <v>262976</v>
      </c>
      <c r="J16" s="115">
        <v>12903</v>
      </c>
      <c r="K16" s="115">
        <v>67</v>
      </c>
      <c r="L16" s="129">
        <v>13</v>
      </c>
      <c r="M16" s="130">
        <v>13</v>
      </c>
      <c r="N16" s="130">
        <v>3</v>
      </c>
      <c r="O16" s="3">
        <v>17</v>
      </c>
      <c r="P16" s="3">
        <v>52</v>
      </c>
      <c r="Q16" s="3">
        <v>84</v>
      </c>
      <c r="R16" s="3">
        <v>8729</v>
      </c>
      <c r="S16" s="3">
        <v>27</v>
      </c>
      <c r="T16" s="3">
        <v>0</v>
      </c>
      <c r="U16" s="3">
        <v>16</v>
      </c>
      <c r="V16" s="3">
        <v>113</v>
      </c>
      <c r="W16" s="3">
        <v>67</v>
      </c>
      <c r="X16" s="3">
        <v>3046</v>
      </c>
      <c r="Y16" s="3">
        <v>40</v>
      </c>
      <c r="Z16" s="161">
        <f t="shared" si="12"/>
        <v>2.806451612903226</v>
      </c>
      <c r="AA16" s="106">
        <f t="shared" si="13"/>
        <v>0.59615384615384615</v>
      </c>
      <c r="AB16" s="115">
        <f>IF(W16=0,0,(I16/W16)*$L$50)</f>
        <v>5.3075967228179106</v>
      </c>
      <c r="AC16" s="131">
        <f t="shared" si="14"/>
        <v>0</v>
      </c>
      <c r="AD16" s="131">
        <f t="shared" si="15"/>
        <v>0.11504424778761062</v>
      </c>
      <c r="AE16" s="131">
        <f t="shared" si="16"/>
        <v>0.11504424778761062</v>
      </c>
      <c r="AF16" s="150">
        <f t="shared" si="17"/>
        <v>148.31034482758622</v>
      </c>
    </row>
    <row r="17" spans="1:32" s="35" customFormat="1" ht="15.75" thickBot="1" x14ac:dyDescent="0.3">
      <c r="A17" s="333"/>
      <c r="B17" s="225">
        <v>41972</v>
      </c>
      <c r="C17" s="207">
        <v>9</v>
      </c>
      <c r="D17" s="37">
        <v>3</v>
      </c>
      <c r="E17" s="37">
        <v>7</v>
      </c>
      <c r="F17" s="37">
        <v>17</v>
      </c>
      <c r="G17" s="37">
        <v>7</v>
      </c>
      <c r="H17" s="37">
        <v>15</v>
      </c>
      <c r="I17" s="37">
        <v>49984</v>
      </c>
      <c r="J17" s="142">
        <v>2180</v>
      </c>
      <c r="K17" s="142">
        <v>15</v>
      </c>
      <c r="L17" s="143">
        <v>4</v>
      </c>
      <c r="M17" s="144">
        <v>6</v>
      </c>
      <c r="N17" s="144">
        <v>3</v>
      </c>
      <c r="O17" s="37">
        <v>9</v>
      </c>
      <c r="P17" s="37">
        <v>31</v>
      </c>
      <c r="Q17" s="37">
        <v>79</v>
      </c>
      <c r="R17" s="37">
        <v>5064</v>
      </c>
      <c r="S17" s="37">
        <v>25</v>
      </c>
      <c r="T17" s="37">
        <v>0</v>
      </c>
      <c r="U17" s="37">
        <v>12</v>
      </c>
      <c r="V17" s="37">
        <v>27</v>
      </c>
      <c r="W17" s="37">
        <v>15</v>
      </c>
      <c r="X17" s="37">
        <v>1305</v>
      </c>
      <c r="Y17" s="37">
        <v>13</v>
      </c>
      <c r="Z17" s="164">
        <f t="shared" si="12"/>
        <v>2.4285714285714284</v>
      </c>
      <c r="AA17" s="145">
        <f t="shared" si="13"/>
        <v>0.22580645161290322</v>
      </c>
      <c r="AB17" s="142">
        <f>IF(W17=0,0,(I17/W17)*$L$50)</f>
        <v>4.5060536012800005</v>
      </c>
      <c r="AC17" s="146">
        <f t="shared" si="14"/>
        <v>0</v>
      </c>
      <c r="AD17" s="146">
        <f t="shared" si="15"/>
        <v>0.14814814814814814</v>
      </c>
      <c r="AE17" s="146">
        <f t="shared" si="16"/>
        <v>0.22222222222222221</v>
      </c>
      <c r="AF17" s="153">
        <f t="shared" si="17"/>
        <v>128.23529411764707</v>
      </c>
    </row>
    <row r="18" spans="1:32" s="35" customFormat="1" x14ac:dyDescent="0.25">
      <c r="A18" s="329" t="s">
        <v>469</v>
      </c>
      <c r="B18" s="265">
        <v>42000</v>
      </c>
      <c r="C18" s="5">
        <v>8</v>
      </c>
      <c r="D18" s="5">
        <v>1</v>
      </c>
      <c r="E18" s="5">
        <v>0</v>
      </c>
      <c r="F18" s="5">
        <v>3</v>
      </c>
      <c r="G18" s="5">
        <v>7</v>
      </c>
      <c r="H18" s="5">
        <v>15</v>
      </c>
      <c r="I18" s="5">
        <v>1050</v>
      </c>
      <c r="J18" s="126">
        <v>2100</v>
      </c>
      <c r="K18" s="126">
        <v>3</v>
      </c>
      <c r="L18" s="125">
        <v>0</v>
      </c>
      <c r="M18" s="147">
        <v>8</v>
      </c>
      <c r="N18" s="147">
        <v>4</v>
      </c>
      <c r="O18" s="5">
        <v>7</v>
      </c>
      <c r="P18" s="5">
        <v>7</v>
      </c>
      <c r="Q18" s="5">
        <v>16</v>
      </c>
      <c r="R18" s="5">
        <v>21293</v>
      </c>
      <c r="S18" s="5">
        <v>41</v>
      </c>
      <c r="T18" s="5">
        <v>0</v>
      </c>
      <c r="U18" s="5">
        <v>10</v>
      </c>
      <c r="V18" s="5">
        <v>11</v>
      </c>
      <c r="W18" s="5">
        <v>3</v>
      </c>
      <c r="X18" s="5">
        <v>3437</v>
      </c>
      <c r="Y18" s="5">
        <v>10</v>
      </c>
      <c r="Z18" s="126">
        <f>IF((E18+E36)=0,0,(F18+F36)/(E18+E36))</f>
        <v>0</v>
      </c>
      <c r="AA18" s="127">
        <f>IF((P18+P36)=0,0,(E18+E36)/(P18+P36))</f>
        <v>0</v>
      </c>
      <c r="AB18" s="126">
        <f>IF((W18+W36)=0,0,(I18*$L$51+I36*$L$57)/(W18+W36))</f>
        <v>33.600613270000004</v>
      </c>
      <c r="AC18" s="128">
        <f>IF((X18+X36)=0,0,(T18+T36)/(X18+X36))</f>
        <v>0</v>
      </c>
      <c r="AD18" s="128">
        <f>IF((V18+V36)=0,0,(L18+L36)/(V18+V36))</f>
        <v>0</v>
      </c>
      <c r="AE18" s="128">
        <f>IF((V18+V36)=0,0,(M18+M36)/(V18+V36))</f>
        <v>0.75</v>
      </c>
      <c r="AF18" s="149">
        <f>IF((F18+F36)=0,0,(J18+J36)/(F18+F36))</f>
        <v>700</v>
      </c>
    </row>
    <row r="19" spans="1:32" s="35" customFormat="1" x14ac:dyDescent="0.25">
      <c r="A19" s="330"/>
      <c r="B19" s="264">
        <v>41993</v>
      </c>
      <c r="C19" s="3">
        <v>4</v>
      </c>
      <c r="D19" s="3">
        <v>3</v>
      </c>
      <c r="E19" s="3">
        <v>4</v>
      </c>
      <c r="F19" s="3">
        <v>7</v>
      </c>
      <c r="G19" s="3">
        <v>2</v>
      </c>
      <c r="H19" s="3">
        <v>8</v>
      </c>
      <c r="I19" s="3">
        <v>1334</v>
      </c>
      <c r="J19" s="115">
        <v>5576</v>
      </c>
      <c r="K19" s="115">
        <v>5</v>
      </c>
      <c r="L19" s="129">
        <v>4</v>
      </c>
      <c r="M19" s="130">
        <v>1</v>
      </c>
      <c r="N19" s="130">
        <v>6</v>
      </c>
      <c r="O19" s="3">
        <v>10</v>
      </c>
      <c r="P19" s="3">
        <v>11</v>
      </c>
      <c r="Q19" s="3">
        <v>21</v>
      </c>
      <c r="R19" s="3">
        <v>8713</v>
      </c>
      <c r="S19" s="3">
        <v>32</v>
      </c>
      <c r="T19" s="3">
        <v>0</v>
      </c>
      <c r="U19" s="3">
        <v>9</v>
      </c>
      <c r="V19" s="3">
        <v>13</v>
      </c>
      <c r="W19" s="3">
        <v>5</v>
      </c>
      <c r="X19" s="3">
        <v>3076</v>
      </c>
      <c r="Y19" s="3">
        <v>5</v>
      </c>
      <c r="Z19" s="115">
        <f t="shared" ref="Z19:Z20" si="18">IF((E19+E37)=0,0,(F19+F37)/(E19+E37))</f>
        <v>1.75</v>
      </c>
      <c r="AA19" s="106">
        <f t="shared" ref="AA19:AA20" si="19">IF((P19+P37)=0,0,(E19+E37)/(P19+P37))</f>
        <v>0.33333333333333331</v>
      </c>
      <c r="AB19" s="115">
        <f>IF((W19+W37)=0,0,(I19*$L$51+I37*$L$57)/(W19+W37))</f>
        <v>25.613267486960002</v>
      </c>
      <c r="AC19" s="131">
        <f t="shared" ref="AC19:AC20" si="20">IF((X19+X37)=0,0,(T19+T37)/(X19+X37))</f>
        <v>0</v>
      </c>
      <c r="AD19" s="131">
        <f t="shared" ref="AD19:AD20" si="21">IF((V19+V37)=0,0,(L19+L37)/(V19+V37))</f>
        <v>0.30769230769230771</v>
      </c>
      <c r="AE19" s="131">
        <f t="shared" ref="AE19:AE20" si="22">IF((V19+V37)=0,0,(M19+M37)/(V19+V37))</f>
        <v>7.6923076923076927E-2</v>
      </c>
      <c r="AF19" s="150">
        <f t="shared" ref="AF19:AF20" si="23">IF((F19+F37)=0,0,(J19+J37)/(F19+F37))</f>
        <v>796.57142857142856</v>
      </c>
    </row>
    <row r="20" spans="1:32" s="35" customFormat="1" ht="15.75" thickBot="1" x14ac:dyDescent="0.3">
      <c r="A20" s="331"/>
      <c r="B20" s="266">
        <v>41972</v>
      </c>
      <c r="C20" s="10">
        <v>0</v>
      </c>
      <c r="D20" s="10">
        <v>2</v>
      </c>
      <c r="E20" s="10">
        <v>2</v>
      </c>
      <c r="F20" s="10">
        <v>3</v>
      </c>
      <c r="G20" s="10">
        <v>0</v>
      </c>
      <c r="H20" s="10">
        <v>0</v>
      </c>
      <c r="I20" s="10">
        <v>156</v>
      </c>
      <c r="J20" s="132">
        <v>829</v>
      </c>
      <c r="K20" s="132">
        <v>2</v>
      </c>
      <c r="L20" s="133">
        <v>0</v>
      </c>
      <c r="M20" s="134">
        <v>1</v>
      </c>
      <c r="N20" s="134">
        <v>1</v>
      </c>
      <c r="O20" s="10">
        <v>8</v>
      </c>
      <c r="P20" s="10">
        <v>8</v>
      </c>
      <c r="Q20" s="10">
        <v>20</v>
      </c>
      <c r="R20" s="10">
        <v>9715</v>
      </c>
      <c r="S20" s="10">
        <v>23</v>
      </c>
      <c r="T20" s="10">
        <v>0</v>
      </c>
      <c r="U20" s="10">
        <v>3</v>
      </c>
      <c r="V20" s="10">
        <v>4</v>
      </c>
      <c r="W20" s="10">
        <v>2</v>
      </c>
      <c r="X20" s="10">
        <v>2156</v>
      </c>
      <c r="Y20" s="10">
        <v>0</v>
      </c>
      <c r="Z20" s="132">
        <f t="shared" si="18"/>
        <v>1.5</v>
      </c>
      <c r="AA20" s="107">
        <f t="shared" si="19"/>
        <v>0.16666666666666666</v>
      </c>
      <c r="AB20" s="132">
        <f>IF((W20+W38)=0,0,(I20*$L$51+I38*$L$57)/(W20+W38))</f>
        <v>7.4881366715999995</v>
      </c>
      <c r="AC20" s="135">
        <f t="shared" si="20"/>
        <v>0</v>
      </c>
      <c r="AD20" s="135">
        <f t="shared" si="21"/>
        <v>0</v>
      </c>
      <c r="AE20" s="135">
        <f t="shared" si="22"/>
        <v>0.25</v>
      </c>
      <c r="AF20" s="151">
        <f t="shared" si="23"/>
        <v>276.33333333333331</v>
      </c>
    </row>
    <row r="21" spans="1:32" s="179" customFormat="1" x14ac:dyDescent="0.25">
      <c r="A21" s="332" t="s">
        <v>484</v>
      </c>
      <c r="B21" s="235">
        <v>42000</v>
      </c>
      <c r="C21" s="205">
        <v>0</v>
      </c>
      <c r="D21" s="136">
        <v>0</v>
      </c>
      <c r="E21" s="136">
        <v>0</v>
      </c>
      <c r="F21" s="136">
        <v>0</v>
      </c>
      <c r="G21" s="136">
        <v>0</v>
      </c>
      <c r="H21" s="136">
        <v>0</v>
      </c>
      <c r="I21" s="136">
        <v>0</v>
      </c>
      <c r="J21" s="137">
        <v>0</v>
      </c>
      <c r="K21" s="137">
        <v>0</v>
      </c>
      <c r="L21" s="138">
        <v>0</v>
      </c>
      <c r="M21" s="139">
        <v>0</v>
      </c>
      <c r="N21" s="139">
        <v>0</v>
      </c>
      <c r="O21" s="136">
        <v>7</v>
      </c>
      <c r="P21" s="136">
        <v>7</v>
      </c>
      <c r="Q21" s="136">
        <v>26</v>
      </c>
      <c r="R21" s="136">
        <v>7236</v>
      </c>
      <c r="S21" s="136">
        <v>13</v>
      </c>
      <c r="T21" s="136">
        <v>0</v>
      </c>
      <c r="U21" s="136">
        <v>1</v>
      </c>
      <c r="V21" s="136">
        <v>0</v>
      </c>
      <c r="W21" s="136">
        <v>0</v>
      </c>
      <c r="X21" s="136">
        <v>961</v>
      </c>
      <c r="Y21" s="136">
        <v>0</v>
      </c>
      <c r="Z21" s="163">
        <f t="shared" ref="Z21:Z22" si="24">IF(E21=0,0,F21/E21)</f>
        <v>0</v>
      </c>
      <c r="AA21" s="140">
        <f t="shared" ref="AA21:AA22" si="25">IF(P21=0,0,E21/P21)</f>
        <v>0</v>
      </c>
      <c r="AB21" s="137">
        <f>IF(W21=0,0,(I21/W21)*$L$52)</f>
        <v>0</v>
      </c>
      <c r="AC21" s="141">
        <f t="shared" ref="AC21:AC22" si="26">IF(X21=0,0,T21/X21)</f>
        <v>0</v>
      </c>
      <c r="AD21" s="141">
        <f t="shared" ref="AD21:AD22" si="27">IF(V21=0,0,L21/V21)</f>
        <v>0</v>
      </c>
      <c r="AE21" s="141">
        <f t="shared" ref="AE21:AE22" si="28">IF(V21=0,0,M21/V21)</f>
        <v>0</v>
      </c>
      <c r="AF21" s="152">
        <f t="shared" ref="AF21:AF22" si="29">IF(F21=0,0,J21/F21)</f>
        <v>0</v>
      </c>
    </row>
    <row r="22" spans="1:32" s="179" customFormat="1" x14ac:dyDescent="0.25">
      <c r="A22" s="330"/>
      <c r="B22" s="13">
        <v>41993</v>
      </c>
      <c r="C22" s="206">
        <v>0</v>
      </c>
      <c r="D22" s="3">
        <v>1</v>
      </c>
      <c r="E22" s="3">
        <v>1</v>
      </c>
      <c r="F22" s="3">
        <v>1</v>
      </c>
      <c r="G22" s="3">
        <v>0</v>
      </c>
      <c r="H22" s="3">
        <v>0</v>
      </c>
      <c r="I22" s="3">
        <v>500</v>
      </c>
      <c r="J22" s="115">
        <v>294</v>
      </c>
      <c r="K22" s="115">
        <v>1</v>
      </c>
      <c r="L22" s="129">
        <v>0</v>
      </c>
      <c r="M22" s="130">
        <v>0</v>
      </c>
      <c r="N22" s="130">
        <v>0</v>
      </c>
      <c r="O22" s="3">
        <v>11</v>
      </c>
      <c r="P22" s="3">
        <v>12</v>
      </c>
      <c r="Q22" s="3">
        <v>47</v>
      </c>
      <c r="R22" s="3">
        <v>326</v>
      </c>
      <c r="S22" s="3">
        <v>4</v>
      </c>
      <c r="T22" s="3">
        <v>0</v>
      </c>
      <c r="U22" s="3">
        <v>2</v>
      </c>
      <c r="V22" s="3">
        <v>1</v>
      </c>
      <c r="W22" s="3">
        <v>1</v>
      </c>
      <c r="X22" s="3">
        <v>862</v>
      </c>
      <c r="Y22" s="3">
        <v>0</v>
      </c>
      <c r="Z22" s="161">
        <f t="shared" si="24"/>
        <v>1</v>
      </c>
      <c r="AA22" s="106">
        <f t="shared" si="25"/>
        <v>8.3333333333333329E-2</v>
      </c>
      <c r="AB22" s="115">
        <f>IF(W22=0,0,(I22/W22)*$L$52)</f>
        <v>9.1864588999999999</v>
      </c>
      <c r="AC22" s="131">
        <f t="shared" si="26"/>
        <v>0</v>
      </c>
      <c r="AD22" s="131">
        <f t="shared" si="27"/>
        <v>0</v>
      </c>
      <c r="AE22" s="131">
        <f t="shared" si="28"/>
        <v>0</v>
      </c>
      <c r="AF22" s="150">
        <f t="shared" si="29"/>
        <v>294</v>
      </c>
    </row>
    <row r="23" spans="1:32" s="179" customFormat="1" ht="15.75" thickBot="1" x14ac:dyDescent="0.3">
      <c r="A23" s="333"/>
      <c r="B23" s="225">
        <v>41972</v>
      </c>
      <c r="C23" s="207">
        <v>2</v>
      </c>
      <c r="D23" s="37">
        <v>3</v>
      </c>
      <c r="E23" s="37">
        <v>4</v>
      </c>
      <c r="F23" s="37">
        <v>10</v>
      </c>
      <c r="G23" s="37">
        <v>4</v>
      </c>
      <c r="H23" s="37">
        <v>10</v>
      </c>
      <c r="I23" s="37">
        <v>822</v>
      </c>
      <c r="J23" s="142">
        <v>472</v>
      </c>
      <c r="K23" s="142">
        <v>10</v>
      </c>
      <c r="L23" s="143">
        <v>0</v>
      </c>
      <c r="M23" s="144">
        <v>0</v>
      </c>
      <c r="N23" s="144">
        <v>2</v>
      </c>
      <c r="O23" s="37">
        <v>4</v>
      </c>
      <c r="P23" s="37">
        <v>5</v>
      </c>
      <c r="Q23" s="37">
        <v>10</v>
      </c>
      <c r="R23" s="37">
        <v>14</v>
      </c>
      <c r="S23" s="37">
        <v>60</v>
      </c>
      <c r="T23" s="37">
        <v>0</v>
      </c>
      <c r="U23" s="37">
        <v>4</v>
      </c>
      <c r="V23" s="37">
        <v>10</v>
      </c>
      <c r="W23" s="37">
        <v>10</v>
      </c>
      <c r="X23" s="37">
        <v>331</v>
      </c>
      <c r="Y23" s="37">
        <v>10</v>
      </c>
      <c r="Z23" s="164">
        <f>IF(E23=0,0,F23/E23)</f>
        <v>2.5</v>
      </c>
      <c r="AA23" s="145">
        <f>IF(P23=0,0,E23/P23)</f>
        <v>0.8</v>
      </c>
      <c r="AB23" s="142">
        <f>IF(W23=0,0,(I23/W23)*$L$52)</f>
        <v>1.5102538431599999</v>
      </c>
      <c r="AC23" s="146">
        <f>IF(X23=0,0,T23/X23)</f>
        <v>0</v>
      </c>
      <c r="AD23" s="146">
        <f>IF(V23=0,0,L23/V23)</f>
        <v>0</v>
      </c>
      <c r="AE23" s="146">
        <f>IF(V23=0,0,M23/V23)</f>
        <v>0</v>
      </c>
      <c r="AF23" s="153">
        <f>IF(F23=0,0,J23/F23)</f>
        <v>47.2</v>
      </c>
    </row>
    <row r="24" spans="1:32" s="179" customFormat="1" x14ac:dyDescent="0.25">
      <c r="A24" s="329" t="s">
        <v>535</v>
      </c>
      <c r="B24" s="12">
        <v>42000</v>
      </c>
      <c r="C24" s="209">
        <v>2</v>
      </c>
      <c r="D24" s="5">
        <v>2</v>
      </c>
      <c r="E24" s="5">
        <v>6</v>
      </c>
      <c r="F24" s="5">
        <v>22</v>
      </c>
      <c r="G24" s="5">
        <v>2</v>
      </c>
      <c r="H24" s="5">
        <v>2</v>
      </c>
      <c r="I24" s="5">
        <v>97</v>
      </c>
      <c r="J24" s="126">
        <v>671</v>
      </c>
      <c r="K24" s="126">
        <v>21</v>
      </c>
      <c r="L24" s="125">
        <v>0</v>
      </c>
      <c r="M24" s="147">
        <v>4</v>
      </c>
      <c r="N24" s="147">
        <v>0</v>
      </c>
      <c r="O24" s="5">
        <v>2</v>
      </c>
      <c r="P24" s="5">
        <v>7</v>
      </c>
      <c r="Q24" s="5">
        <v>12</v>
      </c>
      <c r="R24" s="5">
        <v>102</v>
      </c>
      <c r="S24" s="5">
        <v>3</v>
      </c>
      <c r="T24" s="5">
        <v>0</v>
      </c>
      <c r="U24" s="5">
        <v>2</v>
      </c>
      <c r="V24" s="5">
        <v>26</v>
      </c>
      <c r="W24" s="5">
        <v>21</v>
      </c>
      <c r="X24" s="5">
        <v>408</v>
      </c>
      <c r="Y24" s="231">
        <v>2</v>
      </c>
      <c r="Z24" s="236"/>
      <c r="AA24" s="237"/>
      <c r="AB24" s="236"/>
      <c r="AC24" s="238"/>
      <c r="AD24" s="239"/>
      <c r="AE24" s="239"/>
      <c r="AF24" s="240"/>
    </row>
    <row r="25" spans="1:32" s="179" customFormat="1" x14ac:dyDescent="0.25">
      <c r="A25" s="330"/>
      <c r="B25" s="13">
        <v>41993</v>
      </c>
      <c r="C25" s="206">
        <v>4</v>
      </c>
      <c r="D25" s="3">
        <v>2</v>
      </c>
      <c r="E25" s="3">
        <v>9</v>
      </c>
      <c r="F25" s="3">
        <v>23</v>
      </c>
      <c r="G25" s="3">
        <v>3</v>
      </c>
      <c r="H25" s="3">
        <v>4</v>
      </c>
      <c r="I25" s="3">
        <v>115</v>
      </c>
      <c r="J25" s="115">
        <v>691</v>
      </c>
      <c r="K25" s="115">
        <v>22</v>
      </c>
      <c r="L25" s="129">
        <v>0</v>
      </c>
      <c r="M25" s="130">
        <v>4</v>
      </c>
      <c r="N25" s="130">
        <v>0</v>
      </c>
      <c r="O25" s="3">
        <v>2</v>
      </c>
      <c r="P25" s="3">
        <v>8</v>
      </c>
      <c r="Q25" s="3">
        <v>5</v>
      </c>
      <c r="R25" s="3">
        <v>0</v>
      </c>
      <c r="S25" s="3">
        <v>3</v>
      </c>
      <c r="T25" s="3">
        <v>0</v>
      </c>
      <c r="U25" s="3">
        <v>1</v>
      </c>
      <c r="V25" s="3">
        <v>27</v>
      </c>
      <c r="W25" s="3">
        <v>22</v>
      </c>
      <c r="X25" s="3">
        <v>383</v>
      </c>
      <c r="Y25" s="232">
        <v>4</v>
      </c>
      <c r="Z25" s="222"/>
      <c r="AA25" s="233"/>
      <c r="AB25" s="222"/>
      <c r="AC25" s="234"/>
      <c r="AD25" s="223"/>
      <c r="AE25" s="223"/>
      <c r="AF25" s="224"/>
    </row>
    <row r="26" spans="1:32" s="179" customFormat="1" ht="15.75" thickBot="1" x14ac:dyDescent="0.3">
      <c r="A26" s="331"/>
      <c r="B26" s="211">
        <v>41972</v>
      </c>
      <c r="C26" s="210">
        <v>2</v>
      </c>
      <c r="D26" s="10">
        <v>1</v>
      </c>
      <c r="E26" s="10">
        <v>3</v>
      </c>
      <c r="F26" s="10">
        <v>4</v>
      </c>
      <c r="G26" s="10">
        <v>3</v>
      </c>
      <c r="H26" s="10">
        <v>4</v>
      </c>
      <c r="I26" s="10">
        <v>7</v>
      </c>
      <c r="J26" s="132">
        <v>48</v>
      </c>
      <c r="K26" s="132">
        <v>3</v>
      </c>
      <c r="L26" s="133">
        <v>0</v>
      </c>
      <c r="M26" s="134">
        <v>0</v>
      </c>
      <c r="N26" s="134">
        <v>3</v>
      </c>
      <c r="O26" s="10">
        <v>2</v>
      </c>
      <c r="P26" s="10">
        <v>11</v>
      </c>
      <c r="Q26" s="10">
        <v>29</v>
      </c>
      <c r="R26" s="10">
        <v>249</v>
      </c>
      <c r="S26" s="10">
        <v>2</v>
      </c>
      <c r="T26" s="10">
        <v>0</v>
      </c>
      <c r="U26" s="10">
        <v>5</v>
      </c>
      <c r="V26" s="10">
        <v>4</v>
      </c>
      <c r="W26" s="10">
        <v>3</v>
      </c>
      <c r="X26" s="10">
        <v>275</v>
      </c>
      <c r="Y26" s="241">
        <v>3</v>
      </c>
      <c r="Z26" s="242"/>
      <c r="AA26" s="243"/>
      <c r="AB26" s="242"/>
      <c r="AC26" s="244"/>
      <c r="AD26" s="228"/>
      <c r="AE26" s="228"/>
      <c r="AF26" s="229"/>
    </row>
    <row r="27" spans="1:32" s="179" customFormat="1" x14ac:dyDescent="0.25">
      <c r="A27" s="332" t="s">
        <v>537</v>
      </c>
      <c r="B27" s="235">
        <v>42000</v>
      </c>
      <c r="C27" s="205">
        <v>0</v>
      </c>
      <c r="D27" s="136">
        <v>1</v>
      </c>
      <c r="E27" s="136">
        <v>2</v>
      </c>
      <c r="F27" s="136">
        <v>2</v>
      </c>
      <c r="G27" s="136">
        <v>0</v>
      </c>
      <c r="H27" s="136">
        <v>0</v>
      </c>
      <c r="I27" s="136">
        <v>30</v>
      </c>
      <c r="J27" s="137">
        <v>4</v>
      </c>
      <c r="K27" s="137">
        <v>2</v>
      </c>
      <c r="L27" s="138">
        <v>0</v>
      </c>
      <c r="M27" s="139">
        <v>1</v>
      </c>
      <c r="N27" s="139">
        <v>2</v>
      </c>
      <c r="O27" s="136">
        <v>8</v>
      </c>
      <c r="P27" s="136">
        <v>13</v>
      </c>
      <c r="Q27" s="136">
        <v>44</v>
      </c>
      <c r="R27" s="136">
        <v>75641</v>
      </c>
      <c r="S27" s="136">
        <v>14</v>
      </c>
      <c r="T27" s="136">
        <v>0</v>
      </c>
      <c r="U27" s="136">
        <v>6</v>
      </c>
      <c r="V27" s="136">
        <v>3</v>
      </c>
      <c r="W27" s="136">
        <v>2</v>
      </c>
      <c r="X27" s="136">
        <v>1491</v>
      </c>
      <c r="Y27" s="136">
        <v>0</v>
      </c>
      <c r="Z27" s="137">
        <f t="shared" ref="Z27:Z32" si="30">IF(E27=0,0,F27/E27)</f>
        <v>1</v>
      </c>
      <c r="AA27" s="140">
        <f t="shared" ref="AA27:AA32" si="31">IF(P27=0,0,E27/P27)</f>
        <v>0.15384615384615385</v>
      </c>
      <c r="AB27" s="137">
        <f>IF(W27=0,0,(I27/W27)*$L$54)</f>
        <v>0.38787212999999998</v>
      </c>
      <c r="AC27" s="141">
        <f t="shared" ref="AC27:AC32" si="32">IF(X27=0,0,T27/X27)</f>
        <v>0</v>
      </c>
      <c r="AD27" s="141">
        <f t="shared" ref="AD27:AD32" si="33">IF(V27=0,0,L27/V27)</f>
        <v>0</v>
      </c>
      <c r="AE27" s="141">
        <f t="shared" ref="AE27:AE32" si="34">IF(V27=0,0,M27/V27)</f>
        <v>0.33333333333333331</v>
      </c>
      <c r="AF27" s="152">
        <f t="shared" ref="AF27:AF32" si="35">IF(F27=0,0,J27/F27)</f>
        <v>2</v>
      </c>
    </row>
    <row r="28" spans="1:32" s="179" customFormat="1" x14ac:dyDescent="0.25">
      <c r="A28" s="330"/>
      <c r="B28" s="13">
        <v>41993</v>
      </c>
      <c r="C28" s="206">
        <v>0</v>
      </c>
      <c r="D28" s="3">
        <v>4</v>
      </c>
      <c r="E28" s="3">
        <v>6</v>
      </c>
      <c r="F28" s="3">
        <v>8</v>
      </c>
      <c r="G28" s="3">
        <v>0</v>
      </c>
      <c r="H28" s="3">
        <v>0</v>
      </c>
      <c r="I28" s="3">
        <v>280</v>
      </c>
      <c r="J28" s="115">
        <v>51</v>
      </c>
      <c r="K28" s="115">
        <v>8</v>
      </c>
      <c r="L28" s="129">
        <v>0</v>
      </c>
      <c r="M28" s="130">
        <v>1</v>
      </c>
      <c r="N28" s="130">
        <v>2</v>
      </c>
      <c r="O28" s="3">
        <v>18</v>
      </c>
      <c r="P28" s="3">
        <v>25</v>
      </c>
      <c r="Q28" s="3">
        <v>80</v>
      </c>
      <c r="R28" s="3">
        <v>855</v>
      </c>
      <c r="S28" s="3">
        <v>19</v>
      </c>
      <c r="T28" s="3">
        <v>0</v>
      </c>
      <c r="U28" s="3">
        <v>5</v>
      </c>
      <c r="V28" s="3">
        <v>9</v>
      </c>
      <c r="W28" s="3">
        <v>8</v>
      </c>
      <c r="X28" s="3">
        <v>1294</v>
      </c>
      <c r="Y28" s="3">
        <v>0</v>
      </c>
      <c r="Z28" s="115">
        <f t="shared" si="30"/>
        <v>1.3333333333333333</v>
      </c>
      <c r="AA28" s="106">
        <f t="shared" si="31"/>
        <v>0.24</v>
      </c>
      <c r="AB28" s="115">
        <f>IF(W28=0,0,(I28/W28)*$L$54)</f>
        <v>0.90503496999999999</v>
      </c>
      <c r="AC28" s="131">
        <f t="shared" si="32"/>
        <v>0</v>
      </c>
      <c r="AD28" s="131">
        <f t="shared" si="33"/>
        <v>0</v>
      </c>
      <c r="AE28" s="131">
        <f t="shared" si="34"/>
        <v>0.1111111111111111</v>
      </c>
      <c r="AF28" s="150">
        <f t="shared" si="35"/>
        <v>6.375</v>
      </c>
    </row>
    <row r="29" spans="1:32" s="179" customFormat="1" ht="15.75" thickBot="1" x14ac:dyDescent="0.3">
      <c r="A29" s="333"/>
      <c r="B29" s="225">
        <v>41972</v>
      </c>
      <c r="C29" s="207">
        <v>0</v>
      </c>
      <c r="D29" s="37">
        <v>2</v>
      </c>
      <c r="E29" s="37">
        <v>1</v>
      </c>
      <c r="F29" s="37">
        <v>2</v>
      </c>
      <c r="G29" s="37">
        <v>0</v>
      </c>
      <c r="H29" s="37">
        <v>0</v>
      </c>
      <c r="I29" s="37">
        <v>766</v>
      </c>
      <c r="J29" s="142">
        <v>505</v>
      </c>
      <c r="K29" s="142">
        <v>2</v>
      </c>
      <c r="L29" s="143">
        <v>1</v>
      </c>
      <c r="M29" s="144">
        <v>2</v>
      </c>
      <c r="N29" s="144">
        <v>2</v>
      </c>
      <c r="O29" s="37">
        <v>32</v>
      </c>
      <c r="P29" s="37">
        <v>36</v>
      </c>
      <c r="Q29" s="37">
        <v>118</v>
      </c>
      <c r="R29" s="37">
        <v>1912</v>
      </c>
      <c r="S29" s="37">
        <v>20</v>
      </c>
      <c r="T29" s="37">
        <v>0</v>
      </c>
      <c r="U29" s="37">
        <v>4</v>
      </c>
      <c r="V29" s="37">
        <v>5</v>
      </c>
      <c r="W29" s="37">
        <v>2</v>
      </c>
      <c r="X29" s="37">
        <v>833</v>
      </c>
      <c r="Y29" s="37">
        <v>0</v>
      </c>
      <c r="Z29" s="142">
        <f t="shared" si="30"/>
        <v>2</v>
      </c>
      <c r="AA29" s="145">
        <f t="shared" si="31"/>
        <v>2.7777777777777776E-2</v>
      </c>
      <c r="AB29" s="142">
        <f>IF(W29=0,0,(I29/W29)*$L$54)</f>
        <v>9.9036683859999997</v>
      </c>
      <c r="AC29" s="146">
        <f t="shared" si="32"/>
        <v>0</v>
      </c>
      <c r="AD29" s="146">
        <f t="shared" si="33"/>
        <v>0.2</v>
      </c>
      <c r="AE29" s="146">
        <f t="shared" si="34"/>
        <v>0.4</v>
      </c>
      <c r="AF29" s="153">
        <f t="shared" si="35"/>
        <v>252.5</v>
      </c>
    </row>
    <row r="30" spans="1:32" x14ac:dyDescent="0.25">
      <c r="A30" s="329" t="s">
        <v>538</v>
      </c>
      <c r="B30" s="245">
        <v>42000</v>
      </c>
      <c r="C30" s="209">
        <v>3</v>
      </c>
      <c r="D30" s="5">
        <v>2</v>
      </c>
      <c r="E30" s="5">
        <v>2</v>
      </c>
      <c r="F30" s="5">
        <v>3</v>
      </c>
      <c r="G30" s="5">
        <v>2</v>
      </c>
      <c r="H30" s="5">
        <v>3</v>
      </c>
      <c r="I30" s="5">
        <v>31</v>
      </c>
      <c r="J30" s="5">
        <v>252</v>
      </c>
      <c r="K30" s="5">
        <v>3</v>
      </c>
      <c r="L30" s="5">
        <v>0</v>
      </c>
      <c r="M30" s="5">
        <v>0</v>
      </c>
      <c r="N30" s="5">
        <v>6</v>
      </c>
      <c r="O30" s="5">
        <v>13</v>
      </c>
      <c r="P30" s="5">
        <v>13</v>
      </c>
      <c r="Q30" s="5">
        <v>26</v>
      </c>
      <c r="R30" s="5">
        <v>3728</v>
      </c>
      <c r="S30" s="5">
        <v>46</v>
      </c>
      <c r="T30" s="5">
        <v>0</v>
      </c>
      <c r="U30" s="5">
        <v>11</v>
      </c>
      <c r="V30" s="5">
        <v>3</v>
      </c>
      <c r="W30" s="5">
        <v>3</v>
      </c>
      <c r="X30" s="5">
        <v>3719</v>
      </c>
      <c r="Y30" s="5">
        <v>3</v>
      </c>
      <c r="Z30" s="126">
        <f t="shared" si="30"/>
        <v>1.5</v>
      </c>
      <c r="AA30" s="127">
        <f t="shared" si="31"/>
        <v>0.15384615384615385</v>
      </c>
      <c r="AB30" s="126">
        <f>IF(W30=0,0,(I30/W30)*$L$55)</f>
        <v>8.4817549999999997</v>
      </c>
      <c r="AC30" s="128">
        <f t="shared" si="32"/>
        <v>0</v>
      </c>
      <c r="AD30" s="128">
        <f t="shared" si="33"/>
        <v>0</v>
      </c>
      <c r="AE30" s="128">
        <f t="shared" si="34"/>
        <v>0</v>
      </c>
      <c r="AF30" s="149">
        <f t="shared" si="35"/>
        <v>84</v>
      </c>
    </row>
    <row r="31" spans="1:32" x14ac:dyDescent="0.25">
      <c r="A31" s="330"/>
      <c r="B31" s="246">
        <v>41993</v>
      </c>
      <c r="C31" s="206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4</v>
      </c>
      <c r="O31" s="3">
        <v>14</v>
      </c>
      <c r="P31" s="3">
        <v>14</v>
      </c>
      <c r="Q31" s="3">
        <v>37</v>
      </c>
      <c r="R31" s="3">
        <v>13915</v>
      </c>
      <c r="S31" s="3">
        <v>45</v>
      </c>
      <c r="T31" s="3">
        <v>0</v>
      </c>
      <c r="U31" s="3">
        <v>13</v>
      </c>
      <c r="V31" s="3">
        <v>1</v>
      </c>
      <c r="W31" s="3">
        <v>0</v>
      </c>
      <c r="X31" s="3">
        <v>3398</v>
      </c>
      <c r="Y31" s="3">
        <v>0</v>
      </c>
      <c r="Z31" s="115">
        <f t="shared" si="30"/>
        <v>0</v>
      </c>
      <c r="AA31" s="106">
        <f t="shared" si="31"/>
        <v>0</v>
      </c>
      <c r="AB31" s="115">
        <f>IF(W31=0,0,(I31/W31)*$L$55)</f>
        <v>0</v>
      </c>
      <c r="AC31" s="131">
        <f t="shared" si="32"/>
        <v>0</v>
      </c>
      <c r="AD31" s="131">
        <f t="shared" si="33"/>
        <v>0</v>
      </c>
      <c r="AE31" s="131">
        <f t="shared" si="34"/>
        <v>0</v>
      </c>
      <c r="AF31" s="150">
        <f t="shared" si="35"/>
        <v>0</v>
      </c>
    </row>
    <row r="32" spans="1:32" ht="15.75" thickBot="1" x14ac:dyDescent="0.3">
      <c r="A32" s="331"/>
      <c r="B32" s="247">
        <v>41972</v>
      </c>
      <c r="C32" s="210">
        <v>1</v>
      </c>
      <c r="D32" s="10">
        <v>3</v>
      </c>
      <c r="E32" s="10">
        <v>3</v>
      </c>
      <c r="F32" s="10">
        <v>3</v>
      </c>
      <c r="G32" s="10">
        <v>1</v>
      </c>
      <c r="H32" s="10">
        <v>1</v>
      </c>
      <c r="I32" s="10">
        <v>600</v>
      </c>
      <c r="J32" s="10">
        <v>5062</v>
      </c>
      <c r="K32" s="10">
        <v>3</v>
      </c>
      <c r="L32" s="10">
        <v>0</v>
      </c>
      <c r="M32" s="10">
        <v>2</v>
      </c>
      <c r="N32" s="10">
        <v>3</v>
      </c>
      <c r="O32" s="10">
        <v>10</v>
      </c>
      <c r="P32" s="10">
        <v>11</v>
      </c>
      <c r="Q32" s="10">
        <v>39</v>
      </c>
      <c r="R32" s="10">
        <v>8242</v>
      </c>
      <c r="S32" s="10">
        <v>39</v>
      </c>
      <c r="T32" s="10">
        <v>0</v>
      </c>
      <c r="U32" s="10">
        <v>6</v>
      </c>
      <c r="V32" s="10">
        <v>5</v>
      </c>
      <c r="W32" s="10">
        <v>3</v>
      </c>
      <c r="X32" s="10">
        <v>1999</v>
      </c>
      <c r="Y32" s="10">
        <v>1</v>
      </c>
      <c r="Z32" s="132">
        <f t="shared" si="30"/>
        <v>1</v>
      </c>
      <c r="AA32" s="145">
        <f t="shared" si="31"/>
        <v>0.27272727272727271</v>
      </c>
      <c r="AB32" s="142">
        <f t="shared" ref="AB32" si="36">IF(W32=0,0,(I32/W32)*$L$55)</f>
        <v>164.16299999999998</v>
      </c>
      <c r="AC32" s="146">
        <f t="shared" si="32"/>
        <v>0</v>
      </c>
      <c r="AD32" s="146">
        <f t="shared" si="33"/>
        <v>0</v>
      </c>
      <c r="AE32" s="146">
        <f t="shared" si="34"/>
        <v>0.4</v>
      </c>
      <c r="AF32" s="153">
        <f t="shared" si="35"/>
        <v>1687.3333333333333</v>
      </c>
    </row>
    <row r="33" spans="1:32" s="179" customFormat="1" x14ac:dyDescent="0.25">
      <c r="A33" s="329" t="s">
        <v>542</v>
      </c>
      <c r="B33" s="245">
        <v>42000</v>
      </c>
      <c r="C33" s="209">
        <v>10</v>
      </c>
      <c r="D33" s="5">
        <v>19</v>
      </c>
      <c r="E33" s="5">
        <v>27</v>
      </c>
      <c r="F33" s="5">
        <v>51</v>
      </c>
      <c r="G33" s="5">
        <v>17</v>
      </c>
      <c r="H33" s="5">
        <v>32</v>
      </c>
      <c r="I33" s="5">
        <v>3972</v>
      </c>
      <c r="J33" s="5">
        <v>2324</v>
      </c>
      <c r="K33" s="5">
        <v>45</v>
      </c>
      <c r="L33" s="5">
        <v>0</v>
      </c>
      <c r="M33" s="5">
        <v>5</v>
      </c>
      <c r="N33" s="5">
        <v>8</v>
      </c>
      <c r="O33" s="5">
        <v>38</v>
      </c>
      <c r="P33" s="5">
        <v>84</v>
      </c>
      <c r="Q33" s="5">
        <v>225</v>
      </c>
      <c r="R33" s="5">
        <v>10369</v>
      </c>
      <c r="S33" s="5">
        <v>189</v>
      </c>
      <c r="T33" s="5">
        <v>0</v>
      </c>
      <c r="U33" s="5">
        <v>21</v>
      </c>
      <c r="V33" s="5">
        <v>56</v>
      </c>
      <c r="W33" s="5">
        <v>45</v>
      </c>
      <c r="X33" s="5">
        <v>4513</v>
      </c>
      <c r="Y33" s="5">
        <v>26</v>
      </c>
      <c r="Z33" s="126">
        <f>IF(E33=0,0,F33/E33)</f>
        <v>1.8888888888888888</v>
      </c>
      <c r="AA33" s="127">
        <f t="shared" ref="AA33:AA35" si="37">IF(P33=0,0,E33/P33)</f>
        <v>0.32142857142857145</v>
      </c>
      <c r="AB33" s="257">
        <f>IF(W33=0,0,(I33/W33)*$L$56)</f>
        <v>1.1371846680266666</v>
      </c>
      <c r="AC33" s="128">
        <f t="shared" ref="AC33:AC35" si="38">IF(X33=0,0,T33/X33)</f>
        <v>0</v>
      </c>
      <c r="AD33" s="128">
        <f t="shared" ref="AD33:AD35" si="39">IF(V33=0,0,L33/V33)</f>
        <v>0</v>
      </c>
      <c r="AE33" s="128">
        <f t="shared" ref="AE33:AE35" si="40">IF(V33=0,0,M33/V33)</f>
        <v>8.9285714285714288E-2</v>
      </c>
      <c r="AF33" s="149">
        <f t="shared" ref="AF33:AF35" si="41">IF(F33=0,0,J33/F33)</f>
        <v>45.568627450980394</v>
      </c>
    </row>
    <row r="34" spans="1:32" s="179" customFormat="1" x14ac:dyDescent="0.25">
      <c r="A34" s="330"/>
      <c r="B34" s="246">
        <v>41993</v>
      </c>
      <c r="C34" s="206">
        <v>6</v>
      </c>
      <c r="D34" s="3">
        <v>17</v>
      </c>
      <c r="E34" s="3">
        <v>22</v>
      </c>
      <c r="F34" s="3">
        <v>38</v>
      </c>
      <c r="G34" s="3">
        <v>22</v>
      </c>
      <c r="H34" s="3">
        <v>41</v>
      </c>
      <c r="I34" s="3">
        <v>3228</v>
      </c>
      <c r="J34" s="3">
        <v>1916</v>
      </c>
      <c r="K34" s="3">
        <v>29</v>
      </c>
      <c r="L34" s="3">
        <v>0</v>
      </c>
      <c r="M34" s="3">
        <v>7</v>
      </c>
      <c r="N34" s="3">
        <v>6</v>
      </c>
      <c r="O34" s="3">
        <v>38</v>
      </c>
      <c r="P34" s="3">
        <v>94</v>
      </c>
      <c r="Q34" s="3">
        <v>258</v>
      </c>
      <c r="R34" s="3">
        <v>14361</v>
      </c>
      <c r="S34" s="3">
        <v>27</v>
      </c>
      <c r="T34" s="3">
        <v>0</v>
      </c>
      <c r="U34" s="3">
        <v>29</v>
      </c>
      <c r="V34" s="3">
        <v>45</v>
      </c>
      <c r="W34" s="3">
        <v>29</v>
      </c>
      <c r="X34" s="3">
        <v>3725</v>
      </c>
      <c r="Y34" s="3">
        <v>36</v>
      </c>
      <c r="Z34" s="115">
        <f t="shared" ref="Z34:Z35" si="42">IF(E34=0,0,F34/E34)</f>
        <v>1.7272727272727273</v>
      </c>
      <c r="AA34" s="106">
        <f t="shared" si="37"/>
        <v>0.23404255319148937</v>
      </c>
      <c r="AB34" s="115">
        <f>IF(W34=0,0,(I34/W34)*$L$56)</f>
        <v>1.4340681744413792</v>
      </c>
      <c r="AC34" s="131">
        <f t="shared" si="38"/>
        <v>0</v>
      </c>
      <c r="AD34" s="131">
        <f t="shared" si="39"/>
        <v>0</v>
      </c>
      <c r="AE34" s="131">
        <f t="shared" si="40"/>
        <v>0.15555555555555556</v>
      </c>
      <c r="AF34" s="150">
        <f t="shared" si="41"/>
        <v>50.421052631578945</v>
      </c>
    </row>
    <row r="35" spans="1:32" s="179" customFormat="1" ht="15.75" thickBot="1" x14ac:dyDescent="0.3">
      <c r="A35" s="331"/>
      <c r="B35" s="247">
        <v>41972</v>
      </c>
      <c r="C35" s="210">
        <v>3</v>
      </c>
      <c r="D35" s="10">
        <v>9</v>
      </c>
      <c r="E35" s="10">
        <v>12</v>
      </c>
      <c r="F35" s="10">
        <v>18</v>
      </c>
      <c r="G35" s="10">
        <v>6</v>
      </c>
      <c r="H35" s="10">
        <v>10</v>
      </c>
      <c r="I35" s="10">
        <v>1841</v>
      </c>
      <c r="J35" s="10">
        <v>773</v>
      </c>
      <c r="K35" s="10">
        <v>13</v>
      </c>
      <c r="L35" s="10">
        <v>0</v>
      </c>
      <c r="M35" s="10">
        <v>4</v>
      </c>
      <c r="N35" s="10">
        <v>20</v>
      </c>
      <c r="O35" s="10">
        <v>44</v>
      </c>
      <c r="P35" s="10">
        <v>99</v>
      </c>
      <c r="Q35" s="10">
        <v>284</v>
      </c>
      <c r="R35" s="10">
        <v>33265</v>
      </c>
      <c r="S35" s="10">
        <v>66</v>
      </c>
      <c r="T35" s="10">
        <v>0</v>
      </c>
      <c r="U35" s="10">
        <v>39</v>
      </c>
      <c r="V35" s="10">
        <v>22</v>
      </c>
      <c r="W35" s="10">
        <v>13</v>
      </c>
      <c r="X35" s="10">
        <v>1934</v>
      </c>
      <c r="Y35" s="10">
        <v>6</v>
      </c>
      <c r="Z35" s="132">
        <f t="shared" si="42"/>
        <v>1.5</v>
      </c>
      <c r="AA35" s="145">
        <f t="shared" si="37"/>
        <v>0.12121212121212122</v>
      </c>
      <c r="AB35" s="261">
        <f>IF(W35=0,0,(I35/W35)*$L$56)</f>
        <v>1.8245035212384615</v>
      </c>
      <c r="AC35" s="146">
        <f t="shared" si="38"/>
        <v>0</v>
      </c>
      <c r="AD35" s="146">
        <f t="shared" si="39"/>
        <v>0</v>
      </c>
      <c r="AE35" s="146">
        <f t="shared" si="40"/>
        <v>0.18181818181818182</v>
      </c>
      <c r="AF35" s="153">
        <f t="shared" si="41"/>
        <v>42.944444444444443</v>
      </c>
    </row>
    <row r="36" spans="1:32" s="179" customFormat="1" x14ac:dyDescent="0.25">
      <c r="A36" s="329" t="s">
        <v>545</v>
      </c>
      <c r="B36" s="12">
        <v>42000</v>
      </c>
      <c r="C36" s="209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126">
        <v>0</v>
      </c>
      <c r="K36" s="126">
        <v>0</v>
      </c>
      <c r="L36" s="125">
        <v>0</v>
      </c>
      <c r="M36" s="147">
        <v>1</v>
      </c>
      <c r="N36" s="147">
        <v>3</v>
      </c>
      <c r="O36" s="5">
        <v>4</v>
      </c>
      <c r="P36" s="5">
        <v>4</v>
      </c>
      <c r="Q36" s="5">
        <v>14</v>
      </c>
      <c r="R36" s="5">
        <v>1570</v>
      </c>
      <c r="S36" s="5">
        <v>14</v>
      </c>
      <c r="T36" s="5">
        <v>0</v>
      </c>
      <c r="U36" s="5">
        <v>5</v>
      </c>
      <c r="V36" s="5">
        <v>1</v>
      </c>
      <c r="W36" s="5">
        <v>0</v>
      </c>
      <c r="X36" s="5">
        <v>637</v>
      </c>
      <c r="Y36" s="231">
        <v>0</v>
      </c>
      <c r="Z36" s="236"/>
      <c r="AA36" s="237"/>
      <c r="AB36" s="236"/>
      <c r="AC36" s="238"/>
      <c r="AD36" s="239"/>
      <c r="AE36" s="239"/>
      <c r="AF36" s="240"/>
    </row>
    <row r="37" spans="1:32" s="179" customFormat="1" x14ac:dyDescent="0.25">
      <c r="A37" s="330"/>
      <c r="B37" s="13">
        <v>41993</v>
      </c>
      <c r="C37" s="206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115">
        <v>0</v>
      </c>
      <c r="K37" s="115">
        <v>0</v>
      </c>
      <c r="L37" s="129">
        <v>0</v>
      </c>
      <c r="M37" s="130">
        <v>0</v>
      </c>
      <c r="N37" s="130">
        <v>1</v>
      </c>
      <c r="O37" s="3">
        <v>1</v>
      </c>
      <c r="P37" s="3">
        <v>1</v>
      </c>
      <c r="Q37" s="3">
        <v>3</v>
      </c>
      <c r="R37" s="3">
        <v>8673</v>
      </c>
      <c r="S37" s="3">
        <v>6</v>
      </c>
      <c r="T37" s="3">
        <v>0</v>
      </c>
      <c r="U37" s="3">
        <v>6</v>
      </c>
      <c r="V37" s="3">
        <v>0</v>
      </c>
      <c r="W37" s="3">
        <v>0</v>
      </c>
      <c r="X37" s="3">
        <v>530</v>
      </c>
      <c r="Y37" s="232">
        <v>0</v>
      </c>
      <c r="Z37" s="222"/>
      <c r="AA37" s="233"/>
      <c r="AB37" s="222"/>
      <c r="AC37" s="234"/>
      <c r="AD37" s="223"/>
      <c r="AE37" s="223"/>
      <c r="AF37" s="224"/>
    </row>
    <row r="38" spans="1:32" s="179" customFormat="1" ht="15.75" thickBot="1" x14ac:dyDescent="0.3">
      <c r="A38" s="331"/>
      <c r="B38" s="211">
        <v>41972</v>
      </c>
      <c r="C38" s="2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32">
        <v>0</v>
      </c>
      <c r="K38" s="132">
        <v>0</v>
      </c>
      <c r="L38" s="133">
        <v>0</v>
      </c>
      <c r="M38" s="134">
        <v>0</v>
      </c>
      <c r="N38" s="134">
        <v>0</v>
      </c>
      <c r="O38" s="10">
        <v>4</v>
      </c>
      <c r="P38" s="10">
        <v>4</v>
      </c>
      <c r="Q38" s="10">
        <v>14</v>
      </c>
      <c r="R38" s="10">
        <v>0</v>
      </c>
      <c r="S38" s="10">
        <v>2</v>
      </c>
      <c r="T38" s="10">
        <v>0</v>
      </c>
      <c r="U38" s="10">
        <v>0</v>
      </c>
      <c r="V38" s="10">
        <v>0</v>
      </c>
      <c r="W38" s="10">
        <v>0</v>
      </c>
      <c r="X38" s="10">
        <v>215</v>
      </c>
      <c r="Y38" s="241">
        <v>0</v>
      </c>
      <c r="Z38" s="242"/>
      <c r="AA38" s="233"/>
      <c r="AB38" s="222"/>
      <c r="AC38" s="234"/>
      <c r="AD38" s="223"/>
      <c r="AE38" s="223"/>
      <c r="AF38" s="224"/>
    </row>
    <row r="39" spans="1:32" s="179" customFormat="1" ht="15.75" thickBot="1" x14ac:dyDescent="0.3">
      <c r="A39" s="329" t="s">
        <v>549</v>
      </c>
      <c r="B39" s="12">
        <v>42000</v>
      </c>
      <c r="C39" s="209">
        <v>0</v>
      </c>
      <c r="D39" s="5">
        <v>3</v>
      </c>
      <c r="E39" s="5">
        <v>5</v>
      </c>
      <c r="F39" s="5">
        <v>7</v>
      </c>
      <c r="G39" s="5">
        <v>0</v>
      </c>
      <c r="H39" s="5">
        <v>0</v>
      </c>
      <c r="I39" s="5">
        <v>3190</v>
      </c>
      <c r="J39" s="126">
        <v>2037</v>
      </c>
      <c r="K39" s="126">
        <v>5</v>
      </c>
      <c r="L39" s="125">
        <v>1</v>
      </c>
      <c r="M39" s="147">
        <v>0</v>
      </c>
      <c r="N39" s="147">
        <v>1</v>
      </c>
      <c r="O39" s="5">
        <v>10</v>
      </c>
      <c r="P39" s="5">
        <v>26</v>
      </c>
      <c r="Q39" s="5">
        <v>80</v>
      </c>
      <c r="R39" s="5">
        <v>570</v>
      </c>
      <c r="S39" s="5">
        <v>40</v>
      </c>
      <c r="T39" s="5">
        <v>0</v>
      </c>
      <c r="U39" s="5">
        <v>1</v>
      </c>
      <c r="V39" s="5">
        <v>8</v>
      </c>
      <c r="W39" s="5">
        <v>5</v>
      </c>
      <c r="X39" s="5">
        <v>907</v>
      </c>
      <c r="Y39" s="231">
        <v>0</v>
      </c>
      <c r="Z39" s="126">
        <f>IF(E39=0,0,F39/E39)</f>
        <v>1.4</v>
      </c>
      <c r="AA39" s="127">
        <f>IF(P39=0,0,E39/P39)</f>
        <v>0.19230769230769232</v>
      </c>
      <c r="AB39" s="257">
        <f>IF(W39=0,0,(I39/W39)*$L$58)</f>
        <v>5.1983353818000007</v>
      </c>
      <c r="AC39" s="128">
        <f t="shared" ref="AC39:AC41" si="43">IF(X39=0,0,T39/X39)</f>
        <v>0</v>
      </c>
      <c r="AD39" s="128">
        <f t="shared" ref="AD39:AD41" si="44">IF(V39=0,0,L39/V39)</f>
        <v>0.125</v>
      </c>
      <c r="AE39" s="128">
        <f t="shared" ref="AE39:AE41" si="45">IF(V39=0,0,M39/V39)</f>
        <v>0</v>
      </c>
      <c r="AF39" s="149">
        <f t="shared" ref="AF39:AF41" si="46">IF(F39=0,0,J39/F39)</f>
        <v>291</v>
      </c>
    </row>
    <row r="40" spans="1:32" s="179" customFormat="1" ht="15.75" thickBot="1" x14ac:dyDescent="0.3">
      <c r="A40" s="330"/>
      <c r="B40" s="13">
        <v>41993</v>
      </c>
      <c r="C40" s="206">
        <v>1</v>
      </c>
      <c r="D40" s="3">
        <v>1</v>
      </c>
      <c r="E40" s="3">
        <v>1</v>
      </c>
      <c r="F40" s="3">
        <v>1</v>
      </c>
      <c r="G40" s="3">
        <v>0</v>
      </c>
      <c r="H40" s="3">
        <v>1</v>
      </c>
      <c r="I40" s="3">
        <v>52</v>
      </c>
      <c r="J40" s="115">
        <v>13</v>
      </c>
      <c r="K40" s="115">
        <v>1</v>
      </c>
      <c r="L40" s="129">
        <v>0</v>
      </c>
      <c r="M40" s="130">
        <v>2</v>
      </c>
      <c r="N40" s="130">
        <v>2</v>
      </c>
      <c r="O40" s="3">
        <v>5</v>
      </c>
      <c r="P40" s="3">
        <v>16</v>
      </c>
      <c r="Q40" s="3">
        <v>55</v>
      </c>
      <c r="R40" s="3">
        <v>363</v>
      </c>
      <c r="S40" s="3">
        <v>19</v>
      </c>
      <c r="T40" s="3">
        <v>0</v>
      </c>
      <c r="U40" s="3">
        <v>5</v>
      </c>
      <c r="V40" s="3">
        <v>3</v>
      </c>
      <c r="W40" s="3">
        <v>1</v>
      </c>
      <c r="X40" s="3">
        <v>522</v>
      </c>
      <c r="Y40" s="232">
        <v>1</v>
      </c>
      <c r="Z40" s="115">
        <f t="shared" ref="Z40:Z41" si="47">IF(E40=0,0,F40/E40)</f>
        <v>1</v>
      </c>
      <c r="AA40" s="106">
        <f t="shared" ref="AA40:AA41" si="48">IF(P40=0,0,E40/P40)</f>
        <v>6.25E-2</v>
      </c>
      <c r="AB40" s="257">
        <f>IF(W40=0,0,(I40/W40)*$L$58)</f>
        <v>0.42368877720000003</v>
      </c>
      <c r="AC40" s="131">
        <f t="shared" si="43"/>
        <v>0</v>
      </c>
      <c r="AD40" s="131">
        <f t="shared" si="44"/>
        <v>0</v>
      </c>
      <c r="AE40" s="131">
        <f t="shared" si="45"/>
        <v>0.66666666666666663</v>
      </c>
      <c r="AF40" s="150">
        <f t="shared" si="46"/>
        <v>13</v>
      </c>
    </row>
    <row r="41" spans="1:32" s="179" customFormat="1" ht="15.75" thickBot="1" x14ac:dyDescent="0.3">
      <c r="A41" s="331"/>
      <c r="B41" s="211">
        <v>41972</v>
      </c>
      <c r="C41" s="210">
        <v>0</v>
      </c>
      <c r="D41" s="10">
        <v>1</v>
      </c>
      <c r="E41" s="10">
        <v>1</v>
      </c>
      <c r="F41" s="10">
        <v>1</v>
      </c>
      <c r="G41" s="10">
        <v>0</v>
      </c>
      <c r="H41" s="10">
        <v>0</v>
      </c>
      <c r="I41" s="10">
        <v>1000</v>
      </c>
      <c r="J41" s="132">
        <v>481</v>
      </c>
      <c r="K41" s="132">
        <v>1</v>
      </c>
      <c r="L41" s="133">
        <v>1</v>
      </c>
      <c r="M41" s="134">
        <v>0</v>
      </c>
      <c r="N41" s="134">
        <v>0</v>
      </c>
      <c r="O41" s="10">
        <v>1</v>
      </c>
      <c r="P41" s="10">
        <v>1</v>
      </c>
      <c r="Q41" s="10">
        <v>1</v>
      </c>
      <c r="R41" s="10">
        <v>0</v>
      </c>
      <c r="S41" s="10">
        <v>0</v>
      </c>
      <c r="T41" s="10">
        <v>0</v>
      </c>
      <c r="U41" s="10">
        <v>0</v>
      </c>
      <c r="V41" s="10">
        <v>2</v>
      </c>
      <c r="W41" s="10">
        <v>1</v>
      </c>
      <c r="X41" s="10">
        <v>1</v>
      </c>
      <c r="Y41" s="241">
        <v>0</v>
      </c>
      <c r="Z41" s="132">
        <f t="shared" si="47"/>
        <v>1</v>
      </c>
      <c r="AA41" s="145">
        <f t="shared" si="48"/>
        <v>1</v>
      </c>
      <c r="AB41" s="257">
        <f t="shared" ref="AB41" si="49">IF(W41=0,0,(I41/W41)*$L$58)</f>
        <v>8.1478611000000001</v>
      </c>
      <c r="AC41" s="146">
        <f t="shared" si="43"/>
        <v>0</v>
      </c>
      <c r="AD41" s="146">
        <f t="shared" si="44"/>
        <v>0.5</v>
      </c>
      <c r="AE41" s="146">
        <f t="shared" si="45"/>
        <v>0</v>
      </c>
      <c r="AF41" s="153">
        <f t="shared" si="46"/>
        <v>481</v>
      </c>
    </row>
    <row r="42" spans="1:3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262">
        <f>IF((P3+P6+P9+P12+P15+P18+P21+P24+P27+P30+P33+P36+P39)=0,0,(E3+E6+E9+E12+E15+E18+E21+E24+E27+E30+E33+E36+E39)/(P3+P6+P9+P12+P15+P18+P21+P24+P27+P30+P33+P36+P39))</f>
        <v>0.26148409893992935</v>
      </c>
      <c r="AB42" s="126">
        <f>IF((W3+W6+W9+W12+W15+W18+W21+W24+W27+W30+W33+W36+W39)=0,0,((I3*$L$46+I6*$L$47+I9*$L$48+I12*$L$49+I15*$L$50+I18*$L$51+I21*$L$52+I24*$L$53+I27*$L$54+I30*$L$55+I33*$L$56+I36*$L$57+I39*$L$58)/(W3+W6+W9+W12+W15+W18+W21+W24+W27+W30+W33+W36+W39)))</f>
        <v>4.0294662311955136</v>
      </c>
      <c r="AC42" s="128">
        <f>IF((X3+X6+X9+X12+X15+X18+X21+X24+X27+X30+X33+X36+39)=0,0,(T3+T6+T9+T12+T15+T18+T21+T24+T27+T30+T33+T36+39)/(X3+X6+X9+X12+X15+X18+X21+X24+X27+X30+X33+X36+X39))</f>
        <v>8.2428033985712469E-4</v>
      </c>
      <c r="AD42" s="128">
        <f>IF((V3+V6+V9+V12+V15+V18+V21+V24+V27+V30+V33+V36+V39)=0,0,(L3+L6+L9+L12+L15+L18+L21+L24+L27+L30+L33+L36+L39)/(V3+V6+V9+V12+V15+V18+V21+V24+V27+V30+V33+V36+V39))</f>
        <v>4.9327354260089683E-2</v>
      </c>
      <c r="AE42" s="128">
        <f>IF((V3+V6+V9+V12+V15+V18+V21+V24+V27+V30+V33+V36+V39)=0,0,(M3+M6+M9+M12+M15+M18+M21+M24+M27+M30+M33+M36+M39)/(V3+V6+V9+V12+V15+V18+V21+V24+V27+V30+V33+V36+V39))</f>
        <v>0.1210762331838565</v>
      </c>
      <c r="AF42" s="149">
        <f>IF((F3+F6+F9+F12+F15+F18+F21+F24+F27+F30+F33+F36+V39)=0,0,(J3+J6+J9+J12+J15+J18+J21+J24+J27+J30+J33+J36+J39)/(F3+F6+F9+F12+F15+F18+F21+F24+F27+F30+F33+F36+E39))</f>
        <v>106.60109289617486</v>
      </c>
    </row>
    <row r="43" spans="1:3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230">
        <f t="shared" ref="AA43:AA44" si="50">IF((P4+P7+P10+P13+P16+P19+P22+P25+P28+P31+P34+P37+P40)=0,0,(E4+E7+E10+E13+E16+E19+E22+E25+E28+E31+E34+E37+E40)/(P4+P7+P10+P13+P16+P19+P22+P25+P28+P31+P34+P37+P40))</f>
        <v>0.35067873303167418</v>
      </c>
      <c r="AB43" s="115">
        <f t="shared" ref="AB43:AB44" si="51">IF((W4+W7+W10+W13+W16+W19+W22+W25+W28+W31+W34+W37+W40)=0,0,((I4*$L$46+I7*$L$47+I10*$L$48+I13*$L$49+I16*$L$50+I19*$L$51+I22*$L$52+I25*$L$53+I28*$L$54+I31*$L$55+I34*$L$56+I37*$L$57+I40*$L$58)/(W4+W7+W10+W13+W16+W19+W22+W25+W28+W31+W34+W37+W40)))</f>
        <v>5.782436410181214</v>
      </c>
      <c r="AC43" s="131">
        <f t="shared" ref="AC43:AC44" si="52">IF((X4+X7+X10+X13+X16+X19+X22+X25+X28+X31+X34+X37+39)=0,0,(T4+T7+T10+T13+T16+T19+T22+T25+T28+T31+T34+T37+39)/(X4+X7+X10+X13+X16+X19+X22+X25+X28+X31+X34+X37+X40))</f>
        <v>8.9342985430220835E-4</v>
      </c>
      <c r="AD43" s="131">
        <f t="shared" ref="AD43:AD44" si="53">IF((V4+V7+V10+V13+V16+V19+V22+V25+V28+V31+V34+V37+V40)=0,0,(L4+L7+L10+L13+L16+L19+L22+L25+L28+L31+L34+L37+L40)/(V4+V7+V10+V13+V16+V19+V22+V25+V28+V31+V34+V37+V40))</f>
        <v>8.0074487895716945E-2</v>
      </c>
      <c r="AE43" s="131">
        <f t="shared" ref="AE43:AE44" si="54">IF((V4+V7+V10+V13+V16+V19+V22+V25+V28+V31+V34+V37+V40)=0,0,(M4+M7+M10+M13+M16+M19+M22+M25+M28+M31+M34+M37+M40)/(V4+V7+V10+V13+V16+V19+V22+V25+V28+V31+V34+V37+V40))</f>
        <v>0.1266294227188082</v>
      </c>
      <c r="AF43" s="150">
        <f t="shared" ref="AF43:AF44" si="55">IF((F4+F7+F10+F13+F16+F19+F22+F25+F28+F31+F34+F37+V40)=0,0,(J4+J7+J10+J13+J16+J19+J22+J25+J28+J31+J34+J37+J40)/(F4+F7+F10+F13+F16+F19+F22+F25+F28+F31+F34+F37+E40))</f>
        <v>153.27358490566039</v>
      </c>
    </row>
    <row r="44" spans="1:32" ht="15.75" thickBot="1" x14ac:dyDescent="0.3">
      <c r="A44" s="1"/>
      <c r="B44" s="148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263">
        <f t="shared" si="50"/>
        <v>0.19169329073482427</v>
      </c>
      <c r="AB44" s="132">
        <f t="shared" si="51"/>
        <v>9.9572679227352268</v>
      </c>
      <c r="AC44" s="135">
        <f t="shared" si="52"/>
        <v>1.2910059915919097E-3</v>
      </c>
      <c r="AD44" s="135">
        <f t="shared" si="53"/>
        <v>5.7553956834532377E-2</v>
      </c>
      <c r="AE44" s="135">
        <f t="shared" si="54"/>
        <v>0.12949640287769784</v>
      </c>
      <c r="AF44" s="151">
        <f t="shared" si="55"/>
        <v>156.22123893805309</v>
      </c>
    </row>
    <row r="45" spans="1:32" ht="15.75" thickBot="1" x14ac:dyDescent="0.3">
      <c r="B45" s="103"/>
      <c r="M45" s="35"/>
      <c r="V45" s="103"/>
    </row>
    <row r="46" spans="1:32" ht="15.75" thickBot="1" x14ac:dyDescent="0.3">
      <c r="B46" s="103"/>
      <c r="F46" s="101" t="s">
        <v>120</v>
      </c>
      <c r="G46" s="101" t="s">
        <v>121</v>
      </c>
      <c r="H46" s="101" t="s">
        <v>122</v>
      </c>
      <c r="I46" s="101" t="s">
        <v>123</v>
      </c>
      <c r="J46" s="111" t="s">
        <v>113</v>
      </c>
      <c r="K46" s="182" t="s">
        <v>169</v>
      </c>
      <c r="L46" s="112" t="str">
        <f t="shared" ref="L46:L58" si="56">"0,"&amp;RIGHT(VLOOKUP(K46,$G$47:$I$211,3,0),10)</f>
        <v>0,3047391869</v>
      </c>
      <c r="M46" s="179"/>
      <c r="N46" s="273" t="s">
        <v>65</v>
      </c>
      <c r="O46" s="280" t="s">
        <v>562</v>
      </c>
      <c r="P46" s="281" t="s">
        <v>561</v>
      </c>
      <c r="Q46" s="282" t="s">
        <v>564</v>
      </c>
      <c r="R46" s="282" t="s">
        <v>565</v>
      </c>
      <c r="S46" s="282" t="s">
        <v>563</v>
      </c>
      <c r="T46" s="283" t="s">
        <v>566</v>
      </c>
    </row>
    <row r="47" spans="1:32" x14ac:dyDescent="0.25">
      <c r="F47" s="101" t="s">
        <v>124</v>
      </c>
      <c r="G47" s="108" t="s">
        <v>125</v>
      </c>
      <c r="H47" s="108">
        <v>12183013225</v>
      </c>
      <c r="I47" s="101" t="s">
        <v>571</v>
      </c>
      <c r="J47" s="113" t="s">
        <v>114</v>
      </c>
      <c r="K47" s="109" t="s">
        <v>193</v>
      </c>
      <c r="L47" s="114" t="str">
        <f t="shared" si="56"/>
        <v>0,0003467891</v>
      </c>
      <c r="M47" s="179"/>
      <c r="N47" s="274" t="s">
        <v>18</v>
      </c>
      <c r="O47" s="275">
        <f>RANK(P47,$P$47:$P$57)</f>
        <v>3</v>
      </c>
      <c r="P47" s="275">
        <f>F3 + 0.1</f>
        <v>19.100000000000001</v>
      </c>
      <c r="Q47" s="275">
        <f>RANK(R47,$R$47:$R$57)</f>
        <v>1</v>
      </c>
      <c r="R47" s="275">
        <f>F4</f>
        <v>144</v>
      </c>
      <c r="S47" s="275">
        <f>RANK(T47,$T$47:$T$57)</f>
        <v>1</v>
      </c>
      <c r="T47" s="213">
        <f>F5</f>
        <v>23</v>
      </c>
      <c r="U47" s="274" t="s">
        <v>18</v>
      </c>
    </row>
    <row r="48" spans="1:32" x14ac:dyDescent="0.25">
      <c r="F48" s="101" t="s">
        <v>126</v>
      </c>
      <c r="G48" s="108" t="s">
        <v>127</v>
      </c>
      <c r="H48" s="108">
        <v>10000000000</v>
      </c>
      <c r="I48" s="108">
        <v>10000000000</v>
      </c>
      <c r="J48" s="113" t="s">
        <v>112</v>
      </c>
      <c r="K48" s="109" t="s">
        <v>165</v>
      </c>
      <c r="L48" s="114" t="str">
        <f t="shared" si="56"/>
        <v>0,0557853093</v>
      </c>
      <c r="M48" s="179"/>
      <c r="N48" s="276" t="s">
        <v>19</v>
      </c>
      <c r="O48" s="226">
        <f t="shared" ref="O48:O57" si="57">RANK(P48,$P$47:$P$57)</f>
        <v>4</v>
      </c>
      <c r="P48" s="226">
        <f>F6  + 0.08</f>
        <v>19.079999999999998</v>
      </c>
      <c r="Q48" s="226">
        <f t="shared" ref="Q48:Q57" si="58">RANK(R48,$R$47:$R$57)</f>
        <v>4</v>
      </c>
      <c r="R48" s="226">
        <f>F7</f>
        <v>55</v>
      </c>
      <c r="S48" s="226">
        <f t="shared" ref="S48:S57" si="59">RANK(T48,$T$47:$T$57)</f>
        <v>2</v>
      </c>
      <c r="T48" s="215">
        <f>F8</f>
        <v>22</v>
      </c>
      <c r="U48" s="276" t="s">
        <v>19</v>
      </c>
    </row>
    <row r="49" spans="5:28" x14ac:dyDescent="0.25">
      <c r="F49" s="101" t="s">
        <v>128</v>
      </c>
      <c r="G49" s="101" t="s">
        <v>129</v>
      </c>
      <c r="H49" s="108" t="s">
        <v>572</v>
      </c>
      <c r="I49" s="108">
        <v>12771470993</v>
      </c>
      <c r="J49" s="113" t="s">
        <v>111</v>
      </c>
      <c r="K49" s="109" t="s">
        <v>139</v>
      </c>
      <c r="L49" s="114" t="str">
        <f t="shared" si="56"/>
        <v>0,2347789949</v>
      </c>
      <c r="M49" s="179"/>
      <c r="N49" s="276" t="s">
        <v>20</v>
      </c>
      <c r="O49" s="226">
        <f t="shared" si="57"/>
        <v>7</v>
      </c>
      <c r="P49" s="226">
        <f>F9 + 0.05</f>
        <v>5.05</v>
      </c>
      <c r="Q49" s="226">
        <f t="shared" si="58"/>
        <v>6</v>
      </c>
      <c r="R49" s="226">
        <f>F10</f>
        <v>14</v>
      </c>
      <c r="S49" s="226">
        <f t="shared" si="59"/>
        <v>5</v>
      </c>
      <c r="T49" s="215">
        <f>F11</f>
        <v>10</v>
      </c>
      <c r="U49" s="276" t="s">
        <v>20</v>
      </c>
      <c r="AB49" s="35"/>
    </row>
    <row r="50" spans="5:28" x14ac:dyDescent="0.25">
      <c r="F50" s="101" t="s">
        <v>130</v>
      </c>
      <c r="G50" s="108" t="s">
        <v>131</v>
      </c>
      <c r="H50" s="108">
        <v>776185864050</v>
      </c>
      <c r="I50" s="101" t="s">
        <v>573</v>
      </c>
      <c r="J50" s="177" t="s">
        <v>470</v>
      </c>
      <c r="K50" s="109" t="s">
        <v>217</v>
      </c>
      <c r="L50" s="114" t="str">
        <f t="shared" si="56"/>
        <v>0,0013522488</v>
      </c>
      <c r="M50" s="179"/>
      <c r="N50" s="277" t="s">
        <v>536</v>
      </c>
      <c r="O50" s="226">
        <f t="shared" si="57"/>
        <v>1</v>
      </c>
      <c r="P50" s="226">
        <f>F12 + F24 + 0.06</f>
        <v>58.06</v>
      </c>
      <c r="Q50" s="226">
        <f t="shared" si="58"/>
        <v>3</v>
      </c>
      <c r="R50" s="226">
        <f>F13 + F25</f>
        <v>69</v>
      </c>
      <c r="S50" s="226">
        <f t="shared" si="59"/>
        <v>7</v>
      </c>
      <c r="T50" s="215">
        <f>F14 +F26</f>
        <v>4</v>
      </c>
      <c r="U50" s="277" t="s">
        <v>536</v>
      </c>
      <c r="AB50" s="35"/>
    </row>
    <row r="51" spans="5:28" x14ac:dyDescent="0.25">
      <c r="F51" s="101" t="s">
        <v>132</v>
      </c>
      <c r="G51" s="108" t="s">
        <v>133</v>
      </c>
      <c r="H51" s="108">
        <v>15004634799</v>
      </c>
      <c r="I51" s="101" t="s">
        <v>574</v>
      </c>
      <c r="J51" s="177" t="s">
        <v>471</v>
      </c>
      <c r="K51" s="191" t="s">
        <v>205</v>
      </c>
      <c r="L51" s="114" t="str">
        <f t="shared" si="56"/>
        <v>0,0960017522</v>
      </c>
      <c r="M51" s="179"/>
      <c r="N51" s="277" t="s">
        <v>468</v>
      </c>
      <c r="O51" s="226">
        <f t="shared" si="57"/>
        <v>5</v>
      </c>
      <c r="P51" s="226">
        <f>F15 + 0.09</f>
        <v>18.09</v>
      </c>
      <c r="Q51" s="226">
        <f t="shared" si="58"/>
        <v>2</v>
      </c>
      <c r="R51" s="226">
        <f>F16</f>
        <v>87</v>
      </c>
      <c r="S51" s="226">
        <f t="shared" si="59"/>
        <v>4</v>
      </c>
      <c r="T51" s="215">
        <f>F17</f>
        <v>17</v>
      </c>
      <c r="U51" s="277" t="s">
        <v>468</v>
      </c>
      <c r="AB51" s="35"/>
    </row>
    <row r="52" spans="5:28" x14ac:dyDescent="0.25">
      <c r="F52" s="101" t="s">
        <v>134</v>
      </c>
      <c r="G52" s="108" t="s">
        <v>135</v>
      </c>
      <c r="H52" s="108">
        <v>14170062682</v>
      </c>
      <c r="I52" s="101" t="s">
        <v>575</v>
      </c>
      <c r="J52" s="177" t="s">
        <v>485</v>
      </c>
      <c r="K52" s="191" t="s">
        <v>155</v>
      </c>
      <c r="L52" s="114" t="str">
        <f t="shared" si="56"/>
        <v>0,0183729178</v>
      </c>
      <c r="M52" s="179"/>
      <c r="N52" s="277" t="s">
        <v>546</v>
      </c>
      <c r="O52" s="226">
        <f t="shared" si="57"/>
        <v>8</v>
      </c>
      <c r="P52" s="226">
        <f>F18+F36 + 0.11</f>
        <v>3.11</v>
      </c>
      <c r="Q52" s="226">
        <f t="shared" si="58"/>
        <v>8</v>
      </c>
      <c r="R52" s="226">
        <f>F19+F37</f>
        <v>7</v>
      </c>
      <c r="S52" s="226">
        <f t="shared" si="59"/>
        <v>8</v>
      </c>
      <c r="T52" s="215">
        <f>F20+F38</f>
        <v>3</v>
      </c>
      <c r="U52" s="277" t="s">
        <v>546</v>
      </c>
      <c r="AB52" s="35"/>
    </row>
    <row r="53" spans="5:28" x14ac:dyDescent="0.25">
      <c r="F53" s="110" t="s">
        <v>152</v>
      </c>
      <c r="G53" s="181" t="s">
        <v>153</v>
      </c>
      <c r="H53" s="181">
        <v>16137619317</v>
      </c>
      <c r="I53" s="110" t="s">
        <v>576</v>
      </c>
      <c r="J53" s="177" t="s">
        <v>539</v>
      </c>
      <c r="K53" s="226" t="s">
        <v>153</v>
      </c>
      <c r="L53" s="114" t="str">
        <f t="shared" si="56"/>
        <v>0,6196700891</v>
      </c>
      <c r="M53" s="179"/>
      <c r="N53" s="277" t="s">
        <v>486</v>
      </c>
      <c r="O53" s="226">
        <f t="shared" si="57"/>
        <v>11</v>
      </c>
      <c r="P53" s="226">
        <f>F21 + 0.03</f>
        <v>0.03</v>
      </c>
      <c r="Q53" s="226">
        <f t="shared" si="58"/>
        <v>9</v>
      </c>
      <c r="R53" s="226">
        <f>F22</f>
        <v>1</v>
      </c>
      <c r="S53" s="226">
        <f t="shared" si="59"/>
        <v>5</v>
      </c>
      <c r="T53" s="215">
        <f>F23</f>
        <v>10</v>
      </c>
      <c r="U53" s="277" t="s">
        <v>486</v>
      </c>
      <c r="AB53" s="35"/>
    </row>
    <row r="54" spans="5:28" x14ac:dyDescent="0.25">
      <c r="F54" s="110" t="s">
        <v>140</v>
      </c>
      <c r="G54" s="181" t="s">
        <v>141</v>
      </c>
      <c r="H54" s="181">
        <v>12036938896</v>
      </c>
      <c r="I54" s="110" t="s">
        <v>577</v>
      </c>
      <c r="J54" s="177" t="s">
        <v>540</v>
      </c>
      <c r="K54" s="226" t="s">
        <v>209</v>
      </c>
      <c r="L54" s="114" t="str">
        <f t="shared" si="56"/>
        <v>0,0258581420</v>
      </c>
      <c r="M54" s="179"/>
      <c r="N54" s="277" t="s">
        <v>537</v>
      </c>
      <c r="O54" s="226">
        <f t="shared" si="57"/>
        <v>10</v>
      </c>
      <c r="P54" s="226">
        <f>F27 + 0.02</f>
        <v>2.02</v>
      </c>
      <c r="Q54" s="226">
        <f t="shared" si="58"/>
        <v>7</v>
      </c>
      <c r="R54" s="226">
        <f>F28</f>
        <v>8</v>
      </c>
      <c r="S54" s="226">
        <f t="shared" si="59"/>
        <v>10</v>
      </c>
      <c r="T54" s="215">
        <f>F29</f>
        <v>2</v>
      </c>
      <c r="U54" s="277" t="s">
        <v>537</v>
      </c>
      <c r="AB54" s="35"/>
    </row>
    <row r="55" spans="5:28" x14ac:dyDescent="0.25">
      <c r="F55" s="110" t="s">
        <v>138</v>
      </c>
      <c r="G55" s="181" t="s">
        <v>139</v>
      </c>
      <c r="H55" s="181">
        <v>42593248188</v>
      </c>
      <c r="I55" s="110" t="s">
        <v>578</v>
      </c>
      <c r="J55" s="177" t="s">
        <v>541</v>
      </c>
      <c r="K55" s="191" t="s">
        <v>125</v>
      </c>
      <c r="L55" s="114" t="str">
        <f t="shared" si="56"/>
        <v>0,8208150000</v>
      </c>
      <c r="M55" s="179"/>
      <c r="N55" s="277" t="s">
        <v>538</v>
      </c>
      <c r="O55" s="226">
        <f t="shared" si="57"/>
        <v>9</v>
      </c>
      <c r="P55" s="226">
        <f>F30+0.01</f>
        <v>3.01</v>
      </c>
      <c r="Q55" s="226">
        <f t="shared" si="58"/>
        <v>11</v>
      </c>
      <c r="R55" s="226">
        <f>F31</f>
        <v>0</v>
      </c>
      <c r="S55" s="226">
        <f t="shared" si="59"/>
        <v>8</v>
      </c>
      <c r="T55" s="215">
        <f>F32</f>
        <v>3</v>
      </c>
      <c r="U55" s="277" t="s">
        <v>538</v>
      </c>
      <c r="AB55" s="35"/>
    </row>
    <row r="56" spans="5:28" x14ac:dyDescent="0.25">
      <c r="E56" s="35"/>
      <c r="F56" s="110" t="s">
        <v>150</v>
      </c>
      <c r="G56" s="181" t="s">
        <v>151</v>
      </c>
      <c r="H56" s="181">
        <v>1467078452514</v>
      </c>
      <c r="I56" s="110" t="s">
        <v>579</v>
      </c>
      <c r="J56" s="177" t="s">
        <v>543</v>
      </c>
      <c r="K56" s="191" t="s">
        <v>131</v>
      </c>
      <c r="L56" s="114" t="str">
        <f t="shared" si="56"/>
        <v>0,0128835121</v>
      </c>
      <c r="M56" s="179"/>
      <c r="N56" s="277" t="s">
        <v>542</v>
      </c>
      <c r="O56" s="226">
        <f t="shared" si="57"/>
        <v>2</v>
      </c>
      <c r="P56" s="226">
        <f>F33+0.07</f>
        <v>51.07</v>
      </c>
      <c r="Q56" s="226">
        <f t="shared" si="58"/>
        <v>5</v>
      </c>
      <c r="R56" s="226">
        <f>F34</f>
        <v>38</v>
      </c>
      <c r="S56" s="226">
        <f t="shared" si="59"/>
        <v>3</v>
      </c>
      <c r="T56" s="215">
        <f>F35</f>
        <v>18</v>
      </c>
      <c r="U56" s="277" t="s">
        <v>542</v>
      </c>
    </row>
    <row r="57" spans="5:28" ht="15.75" thickBot="1" x14ac:dyDescent="0.3">
      <c r="E57" s="35"/>
      <c r="F57" s="110" t="s">
        <v>142</v>
      </c>
      <c r="G57" s="181" t="s">
        <v>143</v>
      </c>
      <c r="H57" s="181">
        <v>75833165817</v>
      </c>
      <c r="I57" s="110" t="s">
        <v>580</v>
      </c>
      <c r="J57" s="177" t="s">
        <v>544</v>
      </c>
      <c r="K57" s="191" t="s">
        <v>322</v>
      </c>
      <c r="L57" s="114" t="str">
        <f t="shared" si="56"/>
        <v>0,0339883486</v>
      </c>
      <c r="M57" s="179"/>
      <c r="N57" s="278" t="s">
        <v>549</v>
      </c>
      <c r="O57" s="279">
        <f t="shared" si="57"/>
        <v>6</v>
      </c>
      <c r="P57" s="279">
        <f>F39+0.04</f>
        <v>7.04</v>
      </c>
      <c r="Q57" s="279">
        <f t="shared" si="58"/>
        <v>9</v>
      </c>
      <c r="R57" s="279">
        <f>F40</f>
        <v>1</v>
      </c>
      <c r="S57" s="279">
        <f t="shared" si="59"/>
        <v>11</v>
      </c>
      <c r="T57" s="217">
        <f>F41</f>
        <v>1</v>
      </c>
      <c r="U57" s="278" t="s">
        <v>549</v>
      </c>
    </row>
    <row r="58" spans="5:28" ht="15.75" thickBot="1" x14ac:dyDescent="0.3">
      <c r="E58" s="35"/>
      <c r="F58" s="110" t="s">
        <v>148</v>
      </c>
      <c r="G58" s="181" t="s">
        <v>149</v>
      </c>
      <c r="H58" s="181">
        <v>15697736406</v>
      </c>
      <c r="I58" s="110" t="s">
        <v>581</v>
      </c>
      <c r="J58" s="178" t="s">
        <v>548</v>
      </c>
      <c r="K58" s="227" t="s">
        <v>173</v>
      </c>
      <c r="L58" s="180" t="str">
        <f t="shared" si="56"/>
        <v>0,0081478611</v>
      </c>
      <c r="M58" s="179"/>
    </row>
    <row r="59" spans="5:28" x14ac:dyDescent="0.25">
      <c r="E59" s="35"/>
      <c r="F59" s="110" t="s">
        <v>144</v>
      </c>
      <c r="G59" s="181" t="s">
        <v>145</v>
      </c>
      <c r="H59" s="181">
        <v>401100984451</v>
      </c>
      <c r="I59" s="110" t="s">
        <v>582</v>
      </c>
      <c r="M59" s="179"/>
    </row>
    <row r="60" spans="5:28" x14ac:dyDescent="0.25">
      <c r="E60" s="35"/>
      <c r="F60" s="110" t="s">
        <v>170</v>
      </c>
      <c r="G60" s="181" t="s">
        <v>171</v>
      </c>
      <c r="H60" s="181">
        <v>3172505375755</v>
      </c>
      <c r="I60" s="110" t="s">
        <v>583</v>
      </c>
    </row>
    <row r="61" spans="5:28" x14ac:dyDescent="0.25">
      <c r="F61" s="110" t="s">
        <v>136</v>
      </c>
      <c r="G61" s="181" t="s">
        <v>137</v>
      </c>
      <c r="H61" s="181">
        <v>44746988803</v>
      </c>
      <c r="I61" s="110" t="s">
        <v>584</v>
      </c>
    </row>
    <row r="62" spans="5:28" x14ac:dyDescent="0.25">
      <c r="F62" s="110" t="s">
        <v>158</v>
      </c>
      <c r="G62" s="181" t="s">
        <v>159</v>
      </c>
      <c r="H62" s="181">
        <v>94557847993</v>
      </c>
      <c r="I62" s="110" t="s">
        <v>585</v>
      </c>
    </row>
    <row r="63" spans="5:28" x14ac:dyDescent="0.25">
      <c r="F63" s="110" t="s">
        <v>164</v>
      </c>
      <c r="G63" s="181" t="s">
        <v>165</v>
      </c>
      <c r="H63" s="181">
        <v>179258663757</v>
      </c>
      <c r="I63" s="110" t="s">
        <v>713</v>
      </c>
    </row>
    <row r="64" spans="5:28" ht="15.75" thickBot="1" x14ac:dyDescent="0.3">
      <c r="F64" s="110" t="s">
        <v>162</v>
      </c>
      <c r="G64" s="181" t="s">
        <v>163</v>
      </c>
      <c r="H64" s="181">
        <v>141304983462</v>
      </c>
      <c r="I64" s="110" t="s">
        <v>586</v>
      </c>
    </row>
    <row r="65" spans="6:12" x14ac:dyDescent="0.25">
      <c r="F65" s="110" t="s">
        <v>154</v>
      </c>
      <c r="G65" s="181" t="s">
        <v>155</v>
      </c>
      <c r="H65" s="181">
        <v>544279364479</v>
      </c>
      <c r="I65" s="110" t="s">
        <v>587</v>
      </c>
      <c r="K65" s="212" t="s">
        <v>510</v>
      </c>
      <c r="L65" s="213" t="s">
        <v>522</v>
      </c>
    </row>
    <row r="66" spans="6:12" x14ac:dyDescent="0.25">
      <c r="F66" s="110" t="s">
        <v>166</v>
      </c>
      <c r="G66" s="181" t="s">
        <v>167</v>
      </c>
      <c r="H66" s="181">
        <v>95675700371</v>
      </c>
      <c r="I66" s="110" t="s">
        <v>588</v>
      </c>
      <c r="K66" s="214" t="s">
        <v>511</v>
      </c>
      <c r="L66" s="215" t="s">
        <v>523</v>
      </c>
    </row>
    <row r="67" spans="6:12" x14ac:dyDescent="0.25">
      <c r="F67" s="110" t="s">
        <v>160</v>
      </c>
      <c r="G67" s="181" t="s">
        <v>161</v>
      </c>
      <c r="H67" s="181">
        <v>151733947357200</v>
      </c>
      <c r="I67" s="110" t="s">
        <v>589</v>
      </c>
      <c r="K67" s="214" t="s">
        <v>512</v>
      </c>
      <c r="L67" s="215" t="s">
        <v>524</v>
      </c>
    </row>
    <row r="68" spans="6:12" x14ac:dyDescent="0.25">
      <c r="F68" s="110" t="s">
        <v>146</v>
      </c>
      <c r="G68" s="181" t="s">
        <v>147</v>
      </c>
      <c r="H68" s="181">
        <v>45733204193</v>
      </c>
      <c r="I68" s="110" t="s">
        <v>590</v>
      </c>
      <c r="K68" s="214" t="s">
        <v>513</v>
      </c>
      <c r="L68" s="215" t="s">
        <v>525</v>
      </c>
    </row>
    <row r="69" spans="6:12" x14ac:dyDescent="0.25">
      <c r="F69" s="110" t="s">
        <v>168</v>
      </c>
      <c r="G69" s="181" t="s">
        <v>169</v>
      </c>
      <c r="H69" s="181">
        <v>32814946121</v>
      </c>
      <c r="I69" s="110" t="s">
        <v>591</v>
      </c>
      <c r="K69" s="214" t="s">
        <v>514</v>
      </c>
      <c r="L69" s="215" t="s">
        <v>526</v>
      </c>
    </row>
    <row r="70" spans="6:12" x14ac:dyDescent="0.25">
      <c r="F70" s="110" t="s">
        <v>156</v>
      </c>
      <c r="G70" s="181" t="s">
        <v>157</v>
      </c>
      <c r="H70" s="181">
        <v>28232283531</v>
      </c>
      <c r="I70" s="110" t="s">
        <v>592</v>
      </c>
      <c r="K70" s="214" t="s">
        <v>515</v>
      </c>
      <c r="L70" s="215" t="s">
        <v>527</v>
      </c>
    </row>
    <row r="71" spans="6:12" x14ac:dyDescent="0.25">
      <c r="F71" s="110" t="s">
        <v>218</v>
      </c>
      <c r="G71" s="181" t="s">
        <v>219</v>
      </c>
      <c r="H71" s="181">
        <v>1103558796591</v>
      </c>
      <c r="I71" s="110" t="s">
        <v>593</v>
      </c>
      <c r="K71" s="214" t="s">
        <v>516</v>
      </c>
      <c r="L71" s="215" t="s">
        <v>528</v>
      </c>
    </row>
    <row r="72" spans="6:12" x14ac:dyDescent="0.25">
      <c r="F72" s="110" t="s">
        <v>188</v>
      </c>
      <c r="G72" s="181" t="s">
        <v>189</v>
      </c>
      <c r="H72" s="181">
        <v>13470148571846</v>
      </c>
      <c r="I72" s="110" t="s">
        <v>594</v>
      </c>
      <c r="K72" s="214" t="s">
        <v>517</v>
      </c>
      <c r="L72" s="215" t="s">
        <v>529</v>
      </c>
    </row>
    <row r="73" spans="6:12" x14ac:dyDescent="0.25">
      <c r="F73" s="110" t="s">
        <v>186</v>
      </c>
      <c r="G73" s="110" t="s">
        <v>187</v>
      </c>
      <c r="H73" s="181">
        <v>87108545718</v>
      </c>
      <c r="I73" s="181" t="s">
        <v>595</v>
      </c>
      <c r="K73" s="214" t="s">
        <v>518</v>
      </c>
      <c r="L73" s="215" t="s">
        <v>530</v>
      </c>
    </row>
    <row r="74" spans="6:12" x14ac:dyDescent="0.25">
      <c r="F74" s="110" t="s">
        <v>198</v>
      </c>
      <c r="G74" s="110" t="s">
        <v>199</v>
      </c>
      <c r="H74" s="181">
        <v>13955341609004</v>
      </c>
      <c r="I74" s="181" t="s">
        <v>596</v>
      </c>
      <c r="K74" s="214" t="s">
        <v>519</v>
      </c>
      <c r="L74" s="215" t="s">
        <v>531</v>
      </c>
    </row>
    <row r="75" spans="6:12" x14ac:dyDescent="0.25">
      <c r="F75" s="110" t="s">
        <v>182</v>
      </c>
      <c r="G75" s="181" t="s">
        <v>183</v>
      </c>
      <c r="H75" s="181">
        <v>90977260406</v>
      </c>
      <c r="I75" s="110" t="s">
        <v>597</v>
      </c>
      <c r="K75" s="214" t="s">
        <v>520</v>
      </c>
      <c r="L75" s="215" t="s">
        <v>532</v>
      </c>
    </row>
    <row r="76" spans="6:12" ht="15.75" thickBot="1" x14ac:dyDescent="0.3">
      <c r="F76" s="110" t="s">
        <v>178</v>
      </c>
      <c r="G76" s="181" t="s">
        <v>179</v>
      </c>
      <c r="H76" s="181" t="s">
        <v>598</v>
      </c>
      <c r="I76" s="181">
        <v>28033298295</v>
      </c>
      <c r="K76" s="216" t="s">
        <v>521</v>
      </c>
      <c r="L76" s="217" t="s">
        <v>533</v>
      </c>
    </row>
    <row r="77" spans="6:12" x14ac:dyDescent="0.25">
      <c r="F77" s="110" t="s">
        <v>184</v>
      </c>
      <c r="G77" s="181" t="s">
        <v>185</v>
      </c>
      <c r="H77" s="181">
        <v>655902974483</v>
      </c>
      <c r="I77" s="110" t="s">
        <v>599</v>
      </c>
    </row>
    <row r="78" spans="6:12" x14ac:dyDescent="0.25">
      <c r="F78" s="110" t="s">
        <v>180</v>
      </c>
      <c r="G78" s="181" t="s">
        <v>181</v>
      </c>
      <c r="H78" s="181">
        <v>74407753270</v>
      </c>
      <c r="I78" s="110" t="s">
        <v>600</v>
      </c>
    </row>
    <row r="79" spans="6:12" x14ac:dyDescent="0.25">
      <c r="F79" s="110" t="s">
        <v>172</v>
      </c>
      <c r="G79" s="181" t="s">
        <v>173</v>
      </c>
      <c r="H79" s="181">
        <v>1227315958179</v>
      </c>
      <c r="I79" s="110" t="s">
        <v>601</v>
      </c>
    </row>
    <row r="80" spans="6:12" x14ac:dyDescent="0.25">
      <c r="F80" s="110" t="s">
        <v>196</v>
      </c>
      <c r="G80" s="181" t="s">
        <v>197</v>
      </c>
      <c r="H80" s="181">
        <v>47717817048</v>
      </c>
      <c r="I80" s="110" t="s">
        <v>602</v>
      </c>
    </row>
    <row r="81" spans="6:9" x14ac:dyDescent="0.25">
      <c r="F81" s="110" t="s">
        <v>190</v>
      </c>
      <c r="G81" s="181" t="s">
        <v>191</v>
      </c>
      <c r="H81" s="181">
        <v>43845202634</v>
      </c>
      <c r="I81" s="110" t="s">
        <v>603</v>
      </c>
    </row>
    <row r="82" spans="6:9" x14ac:dyDescent="0.25">
      <c r="F82" s="110" t="s">
        <v>174</v>
      </c>
      <c r="G82" s="181" t="s">
        <v>175</v>
      </c>
      <c r="H82" s="181">
        <v>44340075446</v>
      </c>
      <c r="I82" s="110" t="s">
        <v>604</v>
      </c>
    </row>
    <row r="83" spans="6:9" x14ac:dyDescent="0.25">
      <c r="F83" s="110" t="s">
        <v>261</v>
      </c>
      <c r="G83" s="181" t="s">
        <v>262</v>
      </c>
      <c r="H83" s="181" t="s">
        <v>605</v>
      </c>
      <c r="I83" s="181">
        <v>9817193644548</v>
      </c>
    </row>
    <row r="84" spans="6:9" x14ac:dyDescent="0.25">
      <c r="F84" s="110" t="s">
        <v>176</v>
      </c>
      <c r="G84" s="181" t="s">
        <v>177</v>
      </c>
      <c r="H84" s="181" t="s">
        <v>606</v>
      </c>
      <c r="I84" s="181">
        <v>21319870658</v>
      </c>
    </row>
    <row r="85" spans="6:9" x14ac:dyDescent="0.25">
      <c r="F85" s="110" t="s">
        <v>192</v>
      </c>
      <c r="G85" s="181" t="s">
        <v>193</v>
      </c>
      <c r="H85" s="181">
        <v>28835972811702</v>
      </c>
      <c r="I85" s="110" t="s">
        <v>708</v>
      </c>
    </row>
    <row r="86" spans="6:9" x14ac:dyDescent="0.25">
      <c r="F86" s="110" t="s">
        <v>216</v>
      </c>
      <c r="G86" s="181" t="s">
        <v>217</v>
      </c>
      <c r="H86" s="181">
        <v>7395089027369</v>
      </c>
      <c r="I86" s="110" t="s">
        <v>709</v>
      </c>
    </row>
    <row r="87" spans="6:9" x14ac:dyDescent="0.25">
      <c r="F87" s="110" t="s">
        <v>208</v>
      </c>
      <c r="G87" s="181" t="s">
        <v>209</v>
      </c>
      <c r="H87" s="181">
        <v>386725388790</v>
      </c>
      <c r="I87" s="110" t="s">
        <v>607</v>
      </c>
    </row>
    <row r="88" spans="6:9" x14ac:dyDescent="0.25">
      <c r="F88" s="110" t="s">
        <v>204</v>
      </c>
      <c r="G88" s="181" t="s">
        <v>205</v>
      </c>
      <c r="H88" s="181">
        <v>104164765395</v>
      </c>
      <c r="I88" s="110" t="s">
        <v>710</v>
      </c>
    </row>
    <row r="89" spans="6:9" x14ac:dyDescent="0.25">
      <c r="F89" s="110" t="s">
        <v>194</v>
      </c>
      <c r="G89" s="181" t="s">
        <v>195</v>
      </c>
      <c r="H89" s="181">
        <v>277875038833</v>
      </c>
      <c r="I89" s="110" t="s">
        <v>608</v>
      </c>
    </row>
    <row r="90" spans="6:9" x14ac:dyDescent="0.25">
      <c r="F90" s="110" t="s">
        <v>214</v>
      </c>
      <c r="G90" s="181" t="s">
        <v>215</v>
      </c>
      <c r="H90" s="181">
        <v>260543482135604</v>
      </c>
      <c r="I90" s="110" t="s">
        <v>609</v>
      </c>
    </row>
    <row r="91" spans="6:9" x14ac:dyDescent="0.25">
      <c r="F91" s="110" t="s">
        <v>202</v>
      </c>
      <c r="G91" s="110" t="s">
        <v>203</v>
      </c>
      <c r="H91" s="181">
        <v>109403453181</v>
      </c>
      <c r="I91" s="181" t="s">
        <v>711</v>
      </c>
    </row>
    <row r="92" spans="6:9" x14ac:dyDescent="0.25">
      <c r="F92" s="110" t="s">
        <v>225</v>
      </c>
      <c r="G92" s="181" t="s">
        <v>226</v>
      </c>
      <c r="H92" s="181" t="s">
        <v>610</v>
      </c>
      <c r="I92" s="181">
        <v>11571371007</v>
      </c>
    </row>
    <row r="93" spans="6:9" x14ac:dyDescent="0.25">
      <c r="F93" s="110" t="s">
        <v>212</v>
      </c>
      <c r="G93" s="181" t="s">
        <v>213</v>
      </c>
      <c r="H93" s="181" t="s">
        <v>611</v>
      </c>
      <c r="I93" s="181">
        <v>21772280933</v>
      </c>
    </row>
    <row r="94" spans="6:9" x14ac:dyDescent="0.25">
      <c r="F94" s="110" t="s">
        <v>222</v>
      </c>
      <c r="G94" s="181" t="s">
        <v>223</v>
      </c>
      <c r="H94" s="181">
        <v>6559570000000</v>
      </c>
      <c r="I94" s="110" t="s">
        <v>224</v>
      </c>
    </row>
    <row r="95" spans="6:9" x14ac:dyDescent="0.25">
      <c r="F95" s="110" t="s">
        <v>206</v>
      </c>
      <c r="G95" s="181" t="s">
        <v>207</v>
      </c>
      <c r="H95" s="181">
        <v>1599017887333</v>
      </c>
      <c r="I95" s="110" t="s">
        <v>612</v>
      </c>
    </row>
    <row r="96" spans="6:9" x14ac:dyDescent="0.25">
      <c r="F96" s="110" t="s">
        <v>245</v>
      </c>
      <c r="G96" s="181" t="s">
        <v>246</v>
      </c>
      <c r="H96" s="181">
        <v>192733333555</v>
      </c>
      <c r="I96" s="110" t="s">
        <v>613</v>
      </c>
    </row>
    <row r="97" spans="6:9" x14ac:dyDescent="0.25">
      <c r="F97" s="110" t="s">
        <v>200</v>
      </c>
      <c r="G97" s="110" t="s">
        <v>201</v>
      </c>
      <c r="H97" s="181">
        <v>2254464461118</v>
      </c>
      <c r="I97" s="181" t="s">
        <v>614</v>
      </c>
    </row>
    <row r="98" spans="6:9" x14ac:dyDescent="0.25">
      <c r="F98" s="110" t="s">
        <v>220</v>
      </c>
      <c r="G98" s="181" t="s">
        <v>221</v>
      </c>
      <c r="H98" s="181">
        <v>22713233931</v>
      </c>
      <c r="I98" s="110" t="s">
        <v>615</v>
      </c>
    </row>
    <row r="99" spans="6:9" x14ac:dyDescent="0.25">
      <c r="F99" s="110" t="s">
        <v>279</v>
      </c>
      <c r="G99" s="181" t="s">
        <v>280</v>
      </c>
      <c r="H99" s="181">
        <v>33563869151636</v>
      </c>
      <c r="I99" s="110" t="s">
        <v>616</v>
      </c>
    </row>
    <row r="100" spans="6:9" x14ac:dyDescent="0.25">
      <c r="F100" s="110" t="s">
        <v>233</v>
      </c>
      <c r="G100" s="181" t="s">
        <v>234</v>
      </c>
      <c r="H100" s="181">
        <v>44590414900</v>
      </c>
      <c r="I100" s="110" t="s">
        <v>617</v>
      </c>
    </row>
    <row r="101" spans="6:9" x14ac:dyDescent="0.25">
      <c r="F101" s="110" t="s">
        <v>210</v>
      </c>
      <c r="G101" s="181" t="s">
        <v>211</v>
      </c>
      <c r="H101" s="181">
        <v>948082085425</v>
      </c>
      <c r="I101" s="110" t="s">
        <v>618</v>
      </c>
    </row>
    <row r="102" spans="6:9" x14ac:dyDescent="0.25">
      <c r="F102" s="110" t="s">
        <v>235</v>
      </c>
      <c r="G102" s="181" t="s">
        <v>236</v>
      </c>
      <c r="H102" s="181">
        <v>36232276820</v>
      </c>
      <c r="I102" s="110" t="s">
        <v>619</v>
      </c>
    </row>
    <row r="103" spans="6:9" x14ac:dyDescent="0.25">
      <c r="F103" s="110" t="s">
        <v>283</v>
      </c>
      <c r="G103" s="181" t="s">
        <v>284</v>
      </c>
      <c r="H103" s="181">
        <v>22633309873</v>
      </c>
      <c r="I103" s="110" t="s">
        <v>620</v>
      </c>
    </row>
    <row r="104" spans="6:9" x14ac:dyDescent="0.25">
      <c r="F104" s="110" t="s">
        <v>241</v>
      </c>
      <c r="G104" s="181" t="s">
        <v>242</v>
      </c>
      <c r="H104" s="181">
        <v>6559570000000</v>
      </c>
      <c r="I104" s="110" t="s">
        <v>224</v>
      </c>
    </row>
    <row r="105" spans="6:9" x14ac:dyDescent="0.25">
      <c r="F105" s="110" t="s">
        <v>247</v>
      </c>
      <c r="G105" s="181" t="s">
        <v>248</v>
      </c>
      <c r="H105" s="181">
        <v>24390368037</v>
      </c>
      <c r="I105" s="110" t="s">
        <v>621</v>
      </c>
    </row>
    <row r="106" spans="6:9" x14ac:dyDescent="0.25">
      <c r="F106" s="110" t="s">
        <v>273</v>
      </c>
      <c r="G106" s="181" t="s">
        <v>274</v>
      </c>
      <c r="H106" s="181">
        <v>77357337203</v>
      </c>
      <c r="I106" s="110" t="s">
        <v>622</v>
      </c>
    </row>
    <row r="107" spans="6:9" x14ac:dyDescent="0.25">
      <c r="F107" s="101" t="s">
        <v>331</v>
      </c>
      <c r="G107" s="108" t="s">
        <v>332</v>
      </c>
      <c r="H107" s="108">
        <v>134011805353216</v>
      </c>
      <c r="I107" s="101" t="s">
        <v>623</v>
      </c>
    </row>
    <row r="108" spans="6:9" x14ac:dyDescent="0.25">
      <c r="F108" s="101" t="s">
        <v>229</v>
      </c>
      <c r="G108" s="108" t="s">
        <v>230</v>
      </c>
      <c r="H108" s="108">
        <v>76559262351</v>
      </c>
      <c r="I108" s="101" t="s">
        <v>624</v>
      </c>
    </row>
    <row r="109" spans="6:9" x14ac:dyDescent="0.25">
      <c r="F109" s="101" t="s">
        <v>409</v>
      </c>
      <c r="G109" s="108" t="s">
        <v>410</v>
      </c>
      <c r="H109" s="108">
        <v>29461014254494</v>
      </c>
      <c r="I109" s="101" t="s">
        <v>625</v>
      </c>
    </row>
    <row r="110" spans="6:9" x14ac:dyDescent="0.25">
      <c r="F110" s="101" t="s">
        <v>231</v>
      </c>
      <c r="G110" s="108" t="s">
        <v>232</v>
      </c>
      <c r="H110" s="108">
        <v>19565431918</v>
      </c>
      <c r="I110" s="101" t="s">
        <v>626</v>
      </c>
    </row>
    <row r="111" spans="6:9" x14ac:dyDescent="0.25">
      <c r="F111" s="101" t="s">
        <v>237</v>
      </c>
      <c r="G111" s="108" t="s">
        <v>238</v>
      </c>
      <c r="H111" s="108">
        <v>1060896813911</v>
      </c>
      <c r="I111" s="101" t="s">
        <v>712</v>
      </c>
    </row>
    <row r="112" spans="6:9" x14ac:dyDescent="0.25">
      <c r="F112" s="101" t="s">
        <v>263</v>
      </c>
      <c r="G112" s="108" t="s">
        <v>264</v>
      </c>
      <c r="H112" s="108">
        <v>329805447337868</v>
      </c>
      <c r="I112" s="101" t="s">
        <v>627</v>
      </c>
    </row>
    <row r="113" spans="6:9" x14ac:dyDescent="0.25">
      <c r="F113" s="101" t="s">
        <v>249</v>
      </c>
      <c r="G113" s="108" t="s">
        <v>250</v>
      </c>
      <c r="H113" s="108">
        <v>539097620887</v>
      </c>
      <c r="I113" s="101" t="s">
        <v>628</v>
      </c>
    </row>
    <row r="114" spans="6:9" x14ac:dyDescent="0.25">
      <c r="F114" s="101" t="s">
        <v>243</v>
      </c>
      <c r="G114" s="101" t="s">
        <v>244</v>
      </c>
      <c r="H114" s="108">
        <v>1549006455733</v>
      </c>
      <c r="I114" s="108" t="s">
        <v>629</v>
      </c>
    </row>
    <row r="115" spans="6:9" x14ac:dyDescent="0.25">
      <c r="F115" s="101" t="s">
        <v>317</v>
      </c>
      <c r="G115" s="108" t="s">
        <v>318</v>
      </c>
      <c r="H115" s="108" t="s">
        <v>630</v>
      </c>
      <c r="I115" s="108">
        <v>131863929750</v>
      </c>
    </row>
    <row r="116" spans="6:9" x14ac:dyDescent="0.25">
      <c r="F116" s="101" t="s">
        <v>271</v>
      </c>
      <c r="G116" s="108" t="s">
        <v>272</v>
      </c>
      <c r="H116" s="108">
        <v>6566140045521</v>
      </c>
      <c r="I116" s="101" t="s">
        <v>631</v>
      </c>
    </row>
    <row r="117" spans="6:9" x14ac:dyDescent="0.25">
      <c r="F117" s="101" t="s">
        <v>335</v>
      </c>
      <c r="G117" s="108" t="s">
        <v>336</v>
      </c>
      <c r="H117" s="108">
        <v>2169181599039</v>
      </c>
      <c r="I117" s="101" t="s">
        <v>632</v>
      </c>
    </row>
    <row r="118" spans="6:9" x14ac:dyDescent="0.25">
      <c r="F118" s="101" t="s">
        <v>297</v>
      </c>
      <c r="G118" s="108" t="s">
        <v>298</v>
      </c>
      <c r="H118" s="108">
        <v>16008671170</v>
      </c>
      <c r="I118" s="101" t="s">
        <v>633</v>
      </c>
    </row>
    <row r="119" spans="6:9" x14ac:dyDescent="0.25">
      <c r="F119" s="101" t="s">
        <v>281</v>
      </c>
      <c r="G119" s="108" t="s">
        <v>282</v>
      </c>
      <c r="H119" s="108">
        <v>1392083452320</v>
      </c>
      <c r="I119" s="101" t="s">
        <v>634</v>
      </c>
    </row>
    <row r="120" spans="6:9" x14ac:dyDescent="0.25">
      <c r="F120" s="101" t="s">
        <v>254</v>
      </c>
      <c r="G120" s="108" t="s">
        <v>255</v>
      </c>
      <c r="H120" s="108">
        <v>385591350985</v>
      </c>
      <c r="I120" s="101" t="s">
        <v>635</v>
      </c>
    </row>
    <row r="121" spans="6:9" x14ac:dyDescent="0.25">
      <c r="F121" s="101" t="s">
        <v>227</v>
      </c>
      <c r="G121" s="108" t="s">
        <v>228</v>
      </c>
      <c r="H121" s="108">
        <v>38863429580</v>
      </c>
      <c r="I121" s="101" t="s">
        <v>636</v>
      </c>
    </row>
    <row r="122" spans="6:9" x14ac:dyDescent="0.25">
      <c r="F122" s="101" t="s">
        <v>313</v>
      </c>
      <c r="G122" s="108" t="s">
        <v>314</v>
      </c>
      <c r="H122" s="108">
        <v>1249207977026</v>
      </c>
      <c r="I122" s="101" t="s">
        <v>637</v>
      </c>
    </row>
    <row r="123" spans="6:9" x14ac:dyDescent="0.25">
      <c r="F123" s="101" t="s">
        <v>321</v>
      </c>
      <c r="G123" s="108" t="s">
        <v>322</v>
      </c>
      <c r="H123" s="108">
        <v>294218472608</v>
      </c>
      <c r="I123" s="101" t="s">
        <v>638</v>
      </c>
    </row>
    <row r="124" spans="6:9" x14ac:dyDescent="0.25">
      <c r="F124" s="101" t="s">
        <v>275</v>
      </c>
      <c r="G124" s="108" t="s">
        <v>276</v>
      </c>
      <c r="H124" s="108">
        <v>705487031900</v>
      </c>
      <c r="I124" s="101" t="s">
        <v>639</v>
      </c>
    </row>
    <row r="125" spans="6:9" x14ac:dyDescent="0.25">
      <c r="F125" s="101" t="s">
        <v>327</v>
      </c>
      <c r="G125" s="108" t="s">
        <v>328</v>
      </c>
      <c r="H125" s="108">
        <v>18432858087967</v>
      </c>
      <c r="I125" s="101" t="s">
        <v>640</v>
      </c>
    </row>
    <row r="126" spans="6:9" x14ac:dyDescent="0.25">
      <c r="F126" s="101" t="s">
        <v>251</v>
      </c>
      <c r="G126" s="108" t="s">
        <v>252</v>
      </c>
      <c r="H126" s="108">
        <v>1193317422434</v>
      </c>
      <c r="I126" s="101" t="s">
        <v>253</v>
      </c>
    </row>
    <row r="127" spans="6:9" x14ac:dyDescent="0.25">
      <c r="F127" s="101" t="s">
        <v>301</v>
      </c>
      <c r="G127" s="108" t="s">
        <v>302</v>
      </c>
      <c r="H127" s="108">
        <v>77694949188</v>
      </c>
      <c r="I127" s="101" t="s">
        <v>641</v>
      </c>
    </row>
    <row r="128" spans="6:9" x14ac:dyDescent="0.25">
      <c r="F128" s="101" t="s">
        <v>277</v>
      </c>
      <c r="G128" s="108" t="s">
        <v>278</v>
      </c>
      <c r="H128" s="108">
        <v>21003022488468</v>
      </c>
      <c r="I128" s="101" t="s">
        <v>642</v>
      </c>
    </row>
    <row r="129" spans="6:9" x14ac:dyDescent="0.25">
      <c r="F129" s="101" t="s">
        <v>305</v>
      </c>
      <c r="G129" s="108" t="s">
        <v>306</v>
      </c>
      <c r="H129" s="108">
        <v>1397391616869</v>
      </c>
      <c r="I129" s="101" t="s">
        <v>643</v>
      </c>
    </row>
    <row r="130" spans="6:9" x14ac:dyDescent="0.25">
      <c r="F130" s="101" t="s">
        <v>295</v>
      </c>
      <c r="G130" s="108" t="s">
        <v>296</v>
      </c>
      <c r="H130" s="108">
        <v>32894135739</v>
      </c>
      <c r="I130" s="101" t="s">
        <v>644</v>
      </c>
    </row>
    <row r="131" spans="6:9" x14ac:dyDescent="0.25">
      <c r="F131" s="101" t="s">
        <v>293</v>
      </c>
      <c r="G131" s="108" t="s">
        <v>294</v>
      </c>
      <c r="H131" s="108">
        <v>92755368390</v>
      </c>
      <c r="I131" s="101" t="s">
        <v>645</v>
      </c>
    </row>
    <row r="132" spans="6:9" x14ac:dyDescent="0.25">
      <c r="F132" s="101" t="s">
        <v>239</v>
      </c>
      <c r="G132" s="108" t="s">
        <v>240</v>
      </c>
      <c r="H132" s="108">
        <v>1240620077663</v>
      </c>
      <c r="I132" s="101" t="s">
        <v>646</v>
      </c>
    </row>
    <row r="133" spans="6:9" x14ac:dyDescent="0.25">
      <c r="F133" s="101" t="s">
        <v>307</v>
      </c>
      <c r="G133" s="108" t="s">
        <v>308</v>
      </c>
      <c r="H133" s="108">
        <v>84180212376</v>
      </c>
      <c r="I133" s="101" t="s">
        <v>647</v>
      </c>
    </row>
    <row r="134" spans="6:9" x14ac:dyDescent="0.25">
      <c r="F134" s="101" t="s">
        <v>285</v>
      </c>
      <c r="G134" s="108" t="s">
        <v>286</v>
      </c>
      <c r="H134" s="108">
        <v>4409032486005</v>
      </c>
      <c r="I134" s="101" t="s">
        <v>648</v>
      </c>
    </row>
    <row r="135" spans="6:9" x14ac:dyDescent="0.25">
      <c r="F135" s="101" t="s">
        <v>311</v>
      </c>
      <c r="G135" s="108" t="s">
        <v>312</v>
      </c>
      <c r="H135" s="108">
        <v>24366026449</v>
      </c>
      <c r="I135" s="101" t="s">
        <v>649</v>
      </c>
    </row>
    <row r="136" spans="6:9" x14ac:dyDescent="0.25">
      <c r="F136" s="101" t="s">
        <v>289</v>
      </c>
      <c r="G136" s="108" t="s">
        <v>290</v>
      </c>
      <c r="H136" s="108">
        <v>12183013225</v>
      </c>
      <c r="I136" s="101" t="s">
        <v>571</v>
      </c>
    </row>
    <row r="137" spans="6:9" x14ac:dyDescent="0.25">
      <c r="F137" s="101" t="s">
        <v>329</v>
      </c>
      <c r="G137" s="108" t="s">
        <v>330</v>
      </c>
      <c r="H137" s="108">
        <v>98687834950675</v>
      </c>
      <c r="I137" s="101" t="s">
        <v>650</v>
      </c>
    </row>
    <row r="138" spans="6:9" x14ac:dyDescent="0.25">
      <c r="F138" s="101" t="s">
        <v>267</v>
      </c>
      <c r="G138" s="108" t="s">
        <v>268</v>
      </c>
      <c r="H138" s="108">
        <v>16137619317</v>
      </c>
      <c r="I138" s="101" t="s">
        <v>576</v>
      </c>
    </row>
    <row r="139" spans="6:9" x14ac:dyDescent="0.25">
      <c r="F139" s="101" t="s">
        <v>287</v>
      </c>
      <c r="G139" s="108" t="s">
        <v>288</v>
      </c>
      <c r="H139" s="108">
        <v>116286743198</v>
      </c>
      <c r="I139" s="101" t="s">
        <v>651</v>
      </c>
    </row>
    <row r="140" spans="6:9" x14ac:dyDescent="0.25">
      <c r="F140" s="101" t="s">
        <v>361</v>
      </c>
      <c r="G140" s="108" t="s">
        <v>362</v>
      </c>
      <c r="H140" s="108">
        <v>256086934192</v>
      </c>
      <c r="I140" s="101" t="s">
        <v>652</v>
      </c>
    </row>
    <row r="141" spans="6:9" x14ac:dyDescent="0.25">
      <c r="F141" s="101" t="s">
        <v>365</v>
      </c>
      <c r="G141" s="108" t="s">
        <v>366</v>
      </c>
      <c r="H141" s="108">
        <v>56269979329642</v>
      </c>
      <c r="I141" s="101" t="s">
        <v>653</v>
      </c>
    </row>
    <row r="142" spans="6:9" x14ac:dyDescent="0.25">
      <c r="F142" s="101" t="s">
        <v>269</v>
      </c>
      <c r="G142" s="108" t="s">
        <v>270</v>
      </c>
      <c r="H142" s="108">
        <v>245999374142</v>
      </c>
      <c r="I142" s="101" t="s">
        <v>654</v>
      </c>
    </row>
    <row r="143" spans="6:9" x14ac:dyDescent="0.25">
      <c r="F143" s="101" t="s">
        <v>325</v>
      </c>
      <c r="G143" s="108" t="s">
        <v>326</v>
      </c>
      <c r="H143" s="108">
        <v>141304983462</v>
      </c>
      <c r="I143" s="101" t="s">
        <v>586</v>
      </c>
    </row>
    <row r="144" spans="6:9" x14ac:dyDescent="0.25">
      <c r="F144" s="101" t="s">
        <v>339</v>
      </c>
      <c r="G144" s="101" t="s">
        <v>340</v>
      </c>
      <c r="H144" s="108">
        <v>31399111565</v>
      </c>
      <c r="I144" s="108" t="s">
        <v>655</v>
      </c>
    </row>
    <row r="145" spans="6:9" x14ac:dyDescent="0.25">
      <c r="F145" s="101" t="s">
        <v>343</v>
      </c>
      <c r="G145" s="108" t="s">
        <v>344</v>
      </c>
      <c r="H145" s="108">
        <v>69077682255</v>
      </c>
      <c r="I145" s="101" t="s">
        <v>656</v>
      </c>
    </row>
    <row r="146" spans="6:9" x14ac:dyDescent="0.25">
      <c r="F146" s="101" t="s">
        <v>323</v>
      </c>
      <c r="G146" s="108" t="s">
        <v>324</v>
      </c>
      <c r="H146" s="108">
        <v>97394583432</v>
      </c>
      <c r="I146" s="101" t="s">
        <v>657</v>
      </c>
    </row>
    <row r="147" spans="6:9" x14ac:dyDescent="0.25">
      <c r="F147" s="101" t="s">
        <v>387</v>
      </c>
      <c r="G147" s="108" t="s">
        <v>388</v>
      </c>
      <c r="H147" s="108">
        <v>323831828375</v>
      </c>
      <c r="I147" s="101" t="s">
        <v>658</v>
      </c>
    </row>
    <row r="148" spans="6:9" x14ac:dyDescent="0.25">
      <c r="F148" s="101" t="s">
        <v>405</v>
      </c>
      <c r="G148" s="108" t="s">
        <v>406</v>
      </c>
      <c r="H148" s="108">
        <v>12183013225</v>
      </c>
      <c r="I148" s="101" t="s">
        <v>571</v>
      </c>
    </row>
    <row r="149" spans="6:9" x14ac:dyDescent="0.25">
      <c r="F149" s="101" t="s">
        <v>309</v>
      </c>
      <c r="G149" s="108" t="s">
        <v>310</v>
      </c>
      <c r="H149" s="108">
        <v>2223461614560</v>
      </c>
      <c r="I149" s="101" t="s">
        <v>659</v>
      </c>
    </row>
    <row r="150" spans="6:9" x14ac:dyDescent="0.25">
      <c r="F150" s="101" t="s">
        <v>413</v>
      </c>
      <c r="G150" s="108" t="s">
        <v>414</v>
      </c>
      <c r="H150" s="108">
        <v>12183013225</v>
      </c>
      <c r="I150" s="101" t="s">
        <v>571</v>
      </c>
    </row>
    <row r="151" spans="6:9" x14ac:dyDescent="0.25">
      <c r="F151" s="101" t="s">
        <v>258</v>
      </c>
      <c r="G151" s="108" t="s">
        <v>259</v>
      </c>
      <c r="H151" s="108">
        <v>19558300000</v>
      </c>
      <c r="I151" s="101" t="s">
        <v>260</v>
      </c>
    </row>
    <row r="152" spans="6:9" x14ac:dyDescent="0.25">
      <c r="F152" s="101" t="s">
        <v>375</v>
      </c>
      <c r="G152" s="108" t="s">
        <v>376</v>
      </c>
      <c r="H152" s="108">
        <v>2524354247276</v>
      </c>
      <c r="I152" s="101" t="s">
        <v>660</v>
      </c>
    </row>
    <row r="153" spans="6:9" x14ac:dyDescent="0.25">
      <c r="F153" s="101" t="s">
        <v>369</v>
      </c>
      <c r="G153" s="108" t="s">
        <v>370</v>
      </c>
      <c r="H153" s="108">
        <v>2618004152671</v>
      </c>
      <c r="I153" s="101" t="s">
        <v>661</v>
      </c>
    </row>
    <row r="154" spans="6:9" x14ac:dyDescent="0.25">
      <c r="F154" s="101" t="s">
        <v>333</v>
      </c>
      <c r="G154" s="108" t="s">
        <v>334</v>
      </c>
      <c r="H154" s="108">
        <v>31607246658868</v>
      </c>
      <c r="I154" s="101" t="s">
        <v>662</v>
      </c>
    </row>
    <row r="155" spans="6:9" x14ac:dyDescent="0.25">
      <c r="F155" s="101" t="s">
        <v>391</v>
      </c>
      <c r="G155" s="108" t="s">
        <v>392</v>
      </c>
      <c r="H155" s="108">
        <v>10205853455</v>
      </c>
      <c r="I155" s="101" t="s">
        <v>663</v>
      </c>
    </row>
    <row r="156" spans="6:9" x14ac:dyDescent="0.25">
      <c r="F156" s="101" t="s">
        <v>303</v>
      </c>
      <c r="G156" s="108" t="s">
        <v>304</v>
      </c>
      <c r="H156" s="108">
        <v>414093409850</v>
      </c>
      <c r="I156" s="101" t="s">
        <v>664</v>
      </c>
    </row>
    <row r="157" spans="6:9" x14ac:dyDescent="0.25">
      <c r="F157" s="101" t="s">
        <v>265</v>
      </c>
      <c r="G157" s="108" t="s">
        <v>266</v>
      </c>
      <c r="H157" s="108">
        <v>1205506080923</v>
      </c>
      <c r="I157" s="101" t="s">
        <v>665</v>
      </c>
    </row>
    <row r="158" spans="6:9" x14ac:dyDescent="0.25">
      <c r="F158" s="101" t="s">
        <v>359</v>
      </c>
      <c r="G158" s="108" t="s">
        <v>360</v>
      </c>
      <c r="H158" s="108">
        <v>169033450004</v>
      </c>
      <c r="I158" s="101" t="s">
        <v>666</v>
      </c>
    </row>
    <row r="159" spans="6:9" x14ac:dyDescent="0.25">
      <c r="F159" s="101" t="s">
        <v>319</v>
      </c>
      <c r="G159" s="108" t="s">
        <v>320</v>
      </c>
      <c r="H159" s="108">
        <v>5595648243254</v>
      </c>
      <c r="I159" s="101" t="s">
        <v>667</v>
      </c>
    </row>
    <row r="160" spans="6:9" x14ac:dyDescent="0.25">
      <c r="F160" s="101" t="s">
        <v>407</v>
      </c>
      <c r="G160" s="108" t="s">
        <v>408</v>
      </c>
      <c r="H160" s="108">
        <v>91990274665</v>
      </c>
      <c r="I160" s="101" t="s">
        <v>668</v>
      </c>
    </row>
    <row r="161" spans="6:9" x14ac:dyDescent="0.25">
      <c r="F161" s="101" t="s">
        <v>256</v>
      </c>
      <c r="G161" s="108" t="s">
        <v>257</v>
      </c>
      <c r="H161" s="108" t="s">
        <v>669</v>
      </c>
      <c r="I161" s="108">
        <v>10481745578</v>
      </c>
    </row>
    <row r="162" spans="6:9" x14ac:dyDescent="0.25">
      <c r="F162" s="101" t="s">
        <v>399</v>
      </c>
      <c r="G162" s="108" t="s">
        <v>400</v>
      </c>
      <c r="H162" s="108">
        <v>51769911293336</v>
      </c>
      <c r="I162" s="108" t="s">
        <v>670</v>
      </c>
    </row>
    <row r="163" spans="6:9" x14ac:dyDescent="0.25">
      <c r="F163" s="101" t="s">
        <v>403</v>
      </c>
      <c r="G163" s="108" t="s">
        <v>404</v>
      </c>
      <c r="H163" s="108">
        <v>23706972611</v>
      </c>
      <c r="I163" s="101" t="s">
        <v>671</v>
      </c>
    </row>
    <row r="164" spans="6:9" x14ac:dyDescent="0.25">
      <c r="F164" s="101" t="s">
        <v>381</v>
      </c>
      <c r="G164" s="108" t="s">
        <v>382</v>
      </c>
      <c r="H164" s="108">
        <v>25017103267</v>
      </c>
      <c r="I164" s="101" t="s">
        <v>672</v>
      </c>
    </row>
    <row r="165" spans="6:9" x14ac:dyDescent="0.25">
      <c r="F165" s="101" t="s">
        <v>347</v>
      </c>
      <c r="G165" s="108" t="s">
        <v>348</v>
      </c>
      <c r="H165" s="108">
        <v>5763969069932</v>
      </c>
      <c r="I165" s="101" t="s">
        <v>673</v>
      </c>
    </row>
    <row r="166" spans="6:9" x14ac:dyDescent="0.25">
      <c r="F166" s="101" t="s">
        <v>349</v>
      </c>
      <c r="G166" s="108" t="s">
        <v>350</v>
      </c>
      <c r="H166" s="108">
        <v>525017182719</v>
      </c>
      <c r="I166" s="101" t="s">
        <v>674</v>
      </c>
    </row>
    <row r="167" spans="6:9" x14ac:dyDescent="0.25">
      <c r="F167" s="101" t="s">
        <v>397</v>
      </c>
      <c r="G167" s="108" t="s">
        <v>398</v>
      </c>
      <c r="H167" s="108">
        <v>18940957423953</v>
      </c>
      <c r="I167" s="101" t="s">
        <v>675</v>
      </c>
    </row>
    <row r="168" spans="6:9" x14ac:dyDescent="0.25">
      <c r="F168" s="101" t="s">
        <v>411</v>
      </c>
      <c r="G168" s="108" t="s">
        <v>412</v>
      </c>
      <c r="H168" s="108">
        <v>10050581374445</v>
      </c>
      <c r="I168" s="101" t="s">
        <v>676</v>
      </c>
    </row>
    <row r="169" spans="6:9" x14ac:dyDescent="0.25">
      <c r="F169" s="101" t="s">
        <v>383</v>
      </c>
      <c r="G169" s="108" t="s">
        <v>384</v>
      </c>
      <c r="H169" s="108">
        <v>569196483285</v>
      </c>
      <c r="I169" s="101" t="s">
        <v>677</v>
      </c>
    </row>
    <row r="170" spans="6:9" x14ac:dyDescent="0.25">
      <c r="F170" s="101" t="s">
        <v>393</v>
      </c>
      <c r="G170" s="101" t="s">
        <v>394</v>
      </c>
      <c r="H170" s="108">
        <v>85536847747391</v>
      </c>
      <c r="I170" s="108" t="s">
        <v>678</v>
      </c>
    </row>
    <row r="171" spans="6:9" x14ac:dyDescent="0.25">
      <c r="F171" s="101" t="s">
        <v>355</v>
      </c>
      <c r="G171" s="108" t="s">
        <v>356</v>
      </c>
      <c r="H171" s="108">
        <v>187252909574</v>
      </c>
      <c r="I171" s="101" t="s">
        <v>679</v>
      </c>
    </row>
    <row r="172" spans="6:9" x14ac:dyDescent="0.25">
      <c r="F172" s="101" t="s">
        <v>341</v>
      </c>
      <c r="G172" s="108" t="s">
        <v>342</v>
      </c>
      <c r="H172" s="108">
        <v>22921943978666</v>
      </c>
      <c r="I172" s="101" t="s">
        <v>680</v>
      </c>
    </row>
    <row r="173" spans="6:9" x14ac:dyDescent="0.25">
      <c r="F173" s="101" t="s">
        <v>371</v>
      </c>
      <c r="G173" s="108" t="s">
        <v>372</v>
      </c>
      <c r="H173" s="108">
        <v>11278479193354</v>
      </c>
      <c r="I173" s="101" t="s">
        <v>681</v>
      </c>
    </row>
    <row r="174" spans="6:9" x14ac:dyDescent="0.25">
      <c r="F174" s="101" t="s">
        <v>442</v>
      </c>
      <c r="G174" s="108" t="s">
        <v>443</v>
      </c>
      <c r="H174" s="108">
        <v>244884687932881</v>
      </c>
      <c r="I174" s="101" t="s">
        <v>682</v>
      </c>
    </row>
    <row r="175" spans="6:9" x14ac:dyDescent="0.25">
      <c r="F175" s="101" t="s">
        <v>425</v>
      </c>
      <c r="G175" s="108" t="s">
        <v>426</v>
      </c>
      <c r="H175" s="108">
        <v>62500016543</v>
      </c>
      <c r="I175" s="101" t="s">
        <v>683</v>
      </c>
    </row>
    <row r="176" spans="6:9" x14ac:dyDescent="0.25">
      <c r="F176" s="101" t="s">
        <v>363</v>
      </c>
      <c r="G176" s="108" t="s">
        <v>364</v>
      </c>
      <c r="H176" s="108">
        <v>1617621790301</v>
      </c>
      <c r="I176" s="101" t="s">
        <v>684</v>
      </c>
    </row>
    <row r="177" spans="6:9" x14ac:dyDescent="0.25">
      <c r="F177" s="101" t="s">
        <v>291</v>
      </c>
      <c r="G177" s="108" t="s">
        <v>292</v>
      </c>
      <c r="H177" s="108">
        <v>12560066418546</v>
      </c>
      <c r="I177" s="101" t="s">
        <v>685</v>
      </c>
    </row>
    <row r="178" spans="6:9" x14ac:dyDescent="0.25">
      <c r="F178" s="101" t="s">
        <v>431</v>
      </c>
      <c r="G178" s="108" t="s">
        <v>432</v>
      </c>
      <c r="H178" s="108">
        <v>141304983462</v>
      </c>
      <c r="I178" s="101" t="s">
        <v>586</v>
      </c>
    </row>
    <row r="179" spans="6:9" x14ac:dyDescent="0.25">
      <c r="F179" s="101" t="s">
        <v>423</v>
      </c>
      <c r="G179" s="108" t="s">
        <v>424</v>
      </c>
      <c r="H179" s="108">
        <v>1126927765393</v>
      </c>
      <c r="I179" s="101" t="s">
        <v>686</v>
      </c>
    </row>
    <row r="180" spans="6:9" x14ac:dyDescent="0.25">
      <c r="F180" s="101" t="s">
        <v>385</v>
      </c>
      <c r="G180" s="108" t="s">
        <v>386</v>
      </c>
      <c r="H180" s="108">
        <v>717579423679</v>
      </c>
      <c r="I180" s="101" t="s">
        <v>687</v>
      </c>
    </row>
    <row r="181" spans="6:9" x14ac:dyDescent="0.25">
      <c r="F181" s="101" t="s">
        <v>429</v>
      </c>
      <c r="G181" s="108" t="s">
        <v>430</v>
      </c>
      <c r="H181" s="108" t="s">
        <v>572</v>
      </c>
      <c r="I181" s="108">
        <v>12771470993</v>
      </c>
    </row>
    <row r="182" spans="6:9" x14ac:dyDescent="0.25">
      <c r="F182" s="101" t="s">
        <v>440</v>
      </c>
      <c r="G182" s="108" t="s">
        <v>441</v>
      </c>
      <c r="H182" s="108" t="s">
        <v>688</v>
      </c>
      <c r="I182" s="108">
        <v>9985214474944</v>
      </c>
    </row>
    <row r="183" spans="6:9" x14ac:dyDescent="0.25">
      <c r="F183" s="101" t="s">
        <v>379</v>
      </c>
      <c r="G183" s="108" t="s">
        <v>380</v>
      </c>
      <c r="H183" s="108">
        <v>190686579324</v>
      </c>
      <c r="I183" s="108" t="s">
        <v>689</v>
      </c>
    </row>
    <row r="184" spans="6:9" x14ac:dyDescent="0.25">
      <c r="F184" s="101" t="s">
        <v>351</v>
      </c>
      <c r="G184" s="108" t="s">
        <v>352</v>
      </c>
      <c r="H184" s="108">
        <v>322849850454</v>
      </c>
      <c r="I184" s="101" t="s">
        <v>690</v>
      </c>
    </row>
    <row r="185" spans="6:9" x14ac:dyDescent="0.25">
      <c r="F185" s="101" t="s">
        <v>315</v>
      </c>
      <c r="G185" s="108" t="s">
        <v>316</v>
      </c>
      <c r="H185" s="108">
        <v>49460105653868</v>
      </c>
      <c r="I185" s="101" t="s">
        <v>691</v>
      </c>
    </row>
    <row r="186" spans="6:9" x14ac:dyDescent="0.25">
      <c r="F186" s="101" t="s">
        <v>299</v>
      </c>
      <c r="G186" s="108" t="s">
        <v>300</v>
      </c>
      <c r="H186" s="108">
        <v>615057675145</v>
      </c>
      <c r="I186" s="101" t="s">
        <v>692</v>
      </c>
    </row>
    <row r="187" spans="6:9" x14ac:dyDescent="0.25">
      <c r="F187" s="101" t="s">
        <v>337</v>
      </c>
      <c r="G187" s="108" t="s">
        <v>338</v>
      </c>
      <c r="H187" s="108">
        <v>1217692134625</v>
      </c>
      <c r="I187" s="101" t="s">
        <v>693</v>
      </c>
    </row>
    <row r="188" spans="6:9" x14ac:dyDescent="0.25">
      <c r="F188" s="101" t="s">
        <v>401</v>
      </c>
      <c r="G188" s="108" t="s">
        <v>402</v>
      </c>
      <c r="H188" s="108">
        <v>3568952875302</v>
      </c>
      <c r="I188" s="101" t="s">
        <v>694</v>
      </c>
    </row>
    <row r="189" spans="6:9" x14ac:dyDescent="0.25">
      <c r="F189" s="101" t="s">
        <v>345</v>
      </c>
      <c r="G189" s="108" t="s">
        <v>346</v>
      </c>
      <c r="H189" s="108">
        <v>21807593589</v>
      </c>
      <c r="I189" s="101" t="s">
        <v>695</v>
      </c>
    </row>
    <row r="190" spans="6:9" x14ac:dyDescent="0.25">
      <c r="F190" s="101" t="s">
        <v>419</v>
      </c>
      <c r="G190" s="108" t="s">
        <v>420</v>
      </c>
      <c r="H190" s="108">
        <v>141304983462</v>
      </c>
      <c r="I190" s="101" t="s">
        <v>586</v>
      </c>
    </row>
    <row r="191" spans="6:9" x14ac:dyDescent="0.25">
      <c r="F191" s="101" t="s">
        <v>389</v>
      </c>
      <c r="G191" s="108" t="s">
        <v>390</v>
      </c>
      <c r="H191" s="108">
        <v>1096975799087</v>
      </c>
      <c r="I191" s="101" t="s">
        <v>696</v>
      </c>
    </row>
    <row r="192" spans="6:9" x14ac:dyDescent="0.25">
      <c r="F192" s="101" t="s">
        <v>415</v>
      </c>
      <c r="G192" s="108" t="s">
        <v>416</v>
      </c>
      <c r="H192" s="108">
        <v>40194713448</v>
      </c>
      <c r="I192" s="101" t="s">
        <v>697</v>
      </c>
    </row>
    <row r="193" spans="6:9" x14ac:dyDescent="0.25">
      <c r="F193" s="101" t="s">
        <v>448</v>
      </c>
      <c r="G193" s="108" t="s">
        <v>449</v>
      </c>
      <c r="H193" s="108" t="s">
        <v>698</v>
      </c>
      <c r="I193" s="108">
        <v>6720874260760</v>
      </c>
    </row>
    <row r="194" spans="6:9" x14ac:dyDescent="0.25">
      <c r="F194" s="101" t="s">
        <v>436</v>
      </c>
      <c r="G194" s="108" t="s">
        <v>437</v>
      </c>
      <c r="H194" s="108">
        <v>106601365716</v>
      </c>
      <c r="I194" s="108" t="s">
        <v>699</v>
      </c>
    </row>
    <row r="195" spans="6:9" x14ac:dyDescent="0.25">
      <c r="F195" s="101" t="s">
        <v>395</v>
      </c>
      <c r="G195" s="101" t="s">
        <v>396</v>
      </c>
      <c r="H195" s="108">
        <v>12183013225</v>
      </c>
      <c r="I195" s="108" t="s">
        <v>571</v>
      </c>
    </row>
    <row r="196" spans="6:9" x14ac:dyDescent="0.25">
      <c r="F196" s="101" t="s">
        <v>417</v>
      </c>
      <c r="G196" s="108" t="s">
        <v>418</v>
      </c>
      <c r="H196" s="108" t="s">
        <v>700</v>
      </c>
      <c r="I196" s="108">
        <v>11884673958</v>
      </c>
    </row>
    <row r="197" spans="6:9" x14ac:dyDescent="0.25">
      <c r="F197" s="101" t="s">
        <v>353</v>
      </c>
      <c r="G197" s="108" t="s">
        <v>354</v>
      </c>
      <c r="H197" s="108">
        <v>8381615383588</v>
      </c>
      <c r="I197" s="108" t="s">
        <v>701</v>
      </c>
    </row>
    <row r="198" spans="6:9" x14ac:dyDescent="0.25">
      <c r="F198" s="101" t="s">
        <v>377</v>
      </c>
      <c r="G198" s="108" t="s">
        <v>378</v>
      </c>
      <c r="H198" s="108">
        <v>21807593672</v>
      </c>
      <c r="I198" s="101" t="s">
        <v>702</v>
      </c>
    </row>
    <row r="199" spans="6:9" x14ac:dyDescent="0.25">
      <c r="F199" s="101" t="s">
        <v>367</v>
      </c>
      <c r="G199" s="108" t="s">
        <v>368</v>
      </c>
      <c r="H199" s="108">
        <v>2165772761150</v>
      </c>
      <c r="I199" s="101" t="s">
        <v>703</v>
      </c>
    </row>
    <row r="200" spans="6:9" x14ac:dyDescent="0.25">
      <c r="F200" s="101" t="s">
        <v>357</v>
      </c>
      <c r="G200" s="108" t="s">
        <v>358</v>
      </c>
      <c r="H200" s="108">
        <v>776185864050</v>
      </c>
      <c r="I200" s="101" t="s">
        <v>573</v>
      </c>
    </row>
    <row r="201" spans="6:9" x14ac:dyDescent="0.25">
      <c r="F201" s="101" t="s">
        <v>433</v>
      </c>
      <c r="G201" s="101" t="s">
        <v>434</v>
      </c>
      <c r="H201" s="108">
        <v>4919677500000</v>
      </c>
      <c r="I201" s="108" t="s">
        <v>435</v>
      </c>
    </row>
    <row r="202" spans="6:9" x14ac:dyDescent="0.25">
      <c r="F202" s="101" t="s">
        <v>373</v>
      </c>
      <c r="G202" s="108" t="s">
        <v>374</v>
      </c>
      <c r="H202" s="108">
        <v>29678473142</v>
      </c>
      <c r="I202" s="101" t="s">
        <v>704</v>
      </c>
    </row>
    <row r="203" spans="6:9" x14ac:dyDescent="0.25">
      <c r="F203" s="101" t="s">
        <v>454</v>
      </c>
      <c r="G203" s="108" t="s">
        <v>455</v>
      </c>
      <c r="H203" s="108" t="s">
        <v>705</v>
      </c>
      <c r="I203" s="108">
        <v>49248900000</v>
      </c>
    </row>
    <row r="204" spans="6:9" x14ac:dyDescent="0.25">
      <c r="F204" s="101" t="s">
        <v>421</v>
      </c>
      <c r="G204" s="108" t="s">
        <v>422</v>
      </c>
      <c r="H204" s="108">
        <v>127556113423</v>
      </c>
      <c r="I204" s="108" t="s">
        <v>706</v>
      </c>
    </row>
    <row r="205" spans="6:9" x14ac:dyDescent="0.25">
      <c r="F205" s="101" t="s">
        <v>446</v>
      </c>
      <c r="G205" s="101" t="s">
        <v>447</v>
      </c>
      <c r="H205" s="108" t="s">
        <v>572</v>
      </c>
      <c r="I205" s="108">
        <v>12771470993</v>
      </c>
    </row>
    <row r="206" spans="6:9" x14ac:dyDescent="0.25">
      <c r="F206" s="101" t="s">
        <v>452</v>
      </c>
      <c r="G206" s="101" t="s">
        <v>453</v>
      </c>
      <c r="H206" s="108" t="s">
        <v>572</v>
      </c>
      <c r="I206" s="108">
        <v>12771470993</v>
      </c>
    </row>
    <row r="207" spans="6:9" x14ac:dyDescent="0.25">
      <c r="F207" s="101" t="s">
        <v>450</v>
      </c>
      <c r="G207" s="108" t="s">
        <v>451</v>
      </c>
      <c r="H207" s="108" t="s">
        <v>572</v>
      </c>
      <c r="I207" s="108">
        <v>12771470993</v>
      </c>
    </row>
    <row r="208" spans="6:9" x14ac:dyDescent="0.25">
      <c r="F208" s="101" t="s">
        <v>427</v>
      </c>
      <c r="G208" s="101" t="s">
        <v>428</v>
      </c>
      <c r="H208" s="108">
        <v>34721587690</v>
      </c>
      <c r="I208" s="108" t="s">
        <v>707</v>
      </c>
    </row>
    <row r="209" spans="6:9" x14ac:dyDescent="0.25">
      <c r="F209" s="101" t="s">
        <v>456</v>
      </c>
      <c r="G209" s="101" t="s">
        <v>457</v>
      </c>
      <c r="H209" s="108">
        <v>15004634799</v>
      </c>
      <c r="I209" s="108" t="s">
        <v>574</v>
      </c>
    </row>
    <row r="210" spans="6:9" x14ac:dyDescent="0.25">
      <c r="F210" s="101" t="s">
        <v>444</v>
      </c>
      <c r="G210" s="101" t="s">
        <v>445</v>
      </c>
      <c r="H210" s="108" t="s">
        <v>572</v>
      </c>
      <c r="I210" s="108">
        <v>12771470993</v>
      </c>
    </row>
    <row r="211" spans="6:9" x14ac:dyDescent="0.25">
      <c r="F211" s="101" t="s">
        <v>438</v>
      </c>
      <c r="G211" s="101" t="s">
        <v>439</v>
      </c>
      <c r="H211" s="108" t="s">
        <v>572</v>
      </c>
      <c r="I211" s="108">
        <v>12771470993</v>
      </c>
    </row>
  </sheetData>
  <mergeCells count="13">
    <mergeCell ref="A39:A41"/>
    <mergeCell ref="A36:A38"/>
    <mergeCell ref="A18:A20"/>
    <mergeCell ref="A3:A5"/>
    <mergeCell ref="A6:A8"/>
    <mergeCell ref="A9:A11"/>
    <mergeCell ref="A12:A14"/>
    <mergeCell ref="A15:A17"/>
    <mergeCell ref="A33:A35"/>
    <mergeCell ref="A24:A26"/>
    <mergeCell ref="A27:A29"/>
    <mergeCell ref="A30:A32"/>
    <mergeCell ref="A21:A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1:U90"/>
  <sheetViews>
    <sheetView showGridLines="0" topLeftCell="A23" zoomScale="70" zoomScaleNormal="70" workbookViewId="0">
      <selection activeCell="B37" sqref="B37:P39"/>
    </sheetView>
  </sheetViews>
  <sheetFormatPr defaultRowHeight="15" x14ac:dyDescent="0.25"/>
  <cols>
    <col min="1" max="1" width="5.7109375" customWidth="1"/>
    <col min="2" max="2" width="20" customWidth="1"/>
    <col min="3" max="3" width="10.28515625" style="179" customWidth="1"/>
    <col min="4" max="4" width="11.85546875" style="179" customWidth="1"/>
    <col min="5" max="5" width="13.42578125" style="179" customWidth="1"/>
    <col min="6" max="6" width="13.5703125" customWidth="1"/>
    <col min="7" max="7" width="12.140625" customWidth="1"/>
    <col min="8" max="8" width="15.7109375" customWidth="1"/>
    <col min="9" max="9" width="11.5703125" style="35" customWidth="1"/>
    <col min="10" max="10" width="13.28515625" customWidth="1"/>
    <col min="11" max="11" width="16.7109375" customWidth="1"/>
    <col min="12" max="13" width="12.7109375" customWidth="1"/>
    <col min="14" max="14" width="14.85546875" customWidth="1"/>
    <col min="15" max="15" width="14.42578125" customWidth="1"/>
    <col min="16" max="16" width="14.85546875" customWidth="1"/>
  </cols>
  <sheetData>
    <row r="1" spans="2:21" s="35" customFormat="1" ht="15.75" thickBot="1" x14ac:dyDescent="0.3">
      <c r="C1" s="179"/>
      <c r="D1" s="179"/>
      <c r="E1" s="179"/>
    </row>
    <row r="2" spans="2:21" s="1" customFormat="1" ht="40.5" customHeight="1" thickBot="1" x14ac:dyDescent="0.3">
      <c r="B2" s="358" t="s">
        <v>547</v>
      </c>
      <c r="C2" s="359"/>
      <c r="D2" s="359"/>
      <c r="E2" s="359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</row>
    <row r="3" spans="2:21" ht="15.75" thickBot="1" x14ac:dyDescent="0.3"/>
    <row r="4" spans="2:21" ht="15.75" thickBot="1" x14ac:dyDescent="0.3">
      <c r="B4" s="198" t="s">
        <v>481</v>
      </c>
      <c r="C4" s="199">
        <f ca="1">TODAY()</f>
        <v>42001</v>
      </c>
      <c r="D4" s="197"/>
      <c r="E4" s="197"/>
      <c r="G4" s="179"/>
      <c r="H4" s="35"/>
      <c r="J4" s="27"/>
      <c r="K4" s="27"/>
      <c r="L4" s="27"/>
      <c r="M4" s="27"/>
      <c r="N4" s="27"/>
      <c r="O4" s="35"/>
      <c r="P4" s="35"/>
    </row>
    <row r="5" spans="2:21" ht="15.75" thickBot="1" x14ac:dyDescent="0.3">
      <c r="B5" s="120"/>
      <c r="C5" s="120"/>
      <c r="D5" s="120"/>
      <c r="E5" s="120"/>
      <c r="F5" s="35"/>
      <c r="G5" s="27"/>
      <c r="H5" s="27"/>
      <c r="I5" s="27"/>
      <c r="J5" s="27"/>
      <c r="K5" s="27"/>
      <c r="L5" s="27"/>
      <c r="M5" s="27"/>
      <c r="N5" s="27"/>
      <c r="O5" s="35"/>
      <c r="P5" s="35"/>
    </row>
    <row r="6" spans="2:21" ht="24" thickBot="1" x14ac:dyDescent="0.4">
      <c r="B6" s="121"/>
      <c r="C6" s="365" t="s">
        <v>534</v>
      </c>
      <c r="D6" s="366"/>
      <c r="E6" s="366"/>
      <c r="F6" s="366"/>
      <c r="G6" s="366"/>
      <c r="H6" s="367"/>
      <c r="I6" s="361" t="s">
        <v>466</v>
      </c>
      <c r="J6" s="361"/>
      <c r="K6" s="361"/>
      <c r="L6" s="361"/>
      <c r="M6" s="361"/>
      <c r="N6" s="361"/>
      <c r="O6" s="361"/>
      <c r="P6" s="362"/>
      <c r="R6" s="179"/>
      <c r="S6" s="179"/>
      <c r="T6" s="179"/>
      <c r="U6" s="179"/>
    </row>
    <row r="7" spans="2:21" ht="60" customHeight="1" thickBot="1" x14ac:dyDescent="0.3">
      <c r="B7" s="267"/>
      <c r="C7" s="203" t="s">
        <v>480</v>
      </c>
      <c r="D7" s="202" t="s">
        <v>23</v>
      </c>
      <c r="E7" s="255" t="s">
        <v>488</v>
      </c>
      <c r="F7" s="201" t="s">
        <v>462</v>
      </c>
      <c r="G7" s="201" t="s">
        <v>463</v>
      </c>
      <c r="H7" s="204" t="s">
        <v>464</v>
      </c>
      <c r="I7" s="202" t="s">
        <v>465</v>
      </c>
      <c r="J7" s="201" t="s">
        <v>472</v>
      </c>
      <c r="K7" s="201" t="s">
        <v>473</v>
      </c>
      <c r="L7" s="201" t="s">
        <v>474</v>
      </c>
      <c r="M7" s="201" t="s">
        <v>475</v>
      </c>
      <c r="N7" s="201" t="s">
        <v>483</v>
      </c>
      <c r="O7" s="201" t="s">
        <v>482</v>
      </c>
      <c r="P7" s="204" t="s">
        <v>476</v>
      </c>
      <c r="R7" s="179"/>
      <c r="S7" s="179"/>
      <c r="T7" s="179"/>
      <c r="U7" s="179"/>
    </row>
    <row r="8" spans="2:21" s="179" customFormat="1" x14ac:dyDescent="0.25">
      <c r="B8" s="268" t="s">
        <v>65</v>
      </c>
      <c r="C8" s="192"/>
      <c r="D8" s="193"/>
      <c r="E8" s="193"/>
      <c r="F8" s="193"/>
      <c r="G8" s="193"/>
      <c r="H8" s="221"/>
      <c r="I8" s="193"/>
      <c r="J8" s="193"/>
      <c r="K8" s="193"/>
      <c r="L8" s="193"/>
      <c r="M8" s="193"/>
      <c r="N8" s="193"/>
      <c r="O8" s="193"/>
      <c r="P8" s="221"/>
      <c r="R8" s="258" t="s">
        <v>478</v>
      </c>
      <c r="S8" s="258"/>
    </row>
    <row r="9" spans="2:21" s="179" customFormat="1" x14ac:dyDescent="0.25">
      <c r="B9" s="269">
        <f>B13</f>
        <v>42000</v>
      </c>
      <c r="C9" s="254">
        <f t="shared" ref="C9:J9" si="0">C13+C17+C21+C25+C29+C33+C37+C41+C45+C49+C53</f>
        <v>524</v>
      </c>
      <c r="D9" s="118">
        <f t="shared" si="0"/>
        <v>46</v>
      </c>
      <c r="E9" s="118">
        <f t="shared" si="0"/>
        <v>59</v>
      </c>
      <c r="F9" s="118">
        <f t="shared" si="0"/>
        <v>144</v>
      </c>
      <c r="G9" s="118">
        <f t="shared" si="0"/>
        <v>119</v>
      </c>
      <c r="H9" s="253">
        <f t="shared" si="0"/>
        <v>168200</v>
      </c>
      <c r="I9" s="251">
        <f t="shared" si="0"/>
        <v>74</v>
      </c>
      <c r="J9" s="118">
        <f t="shared" si="0"/>
        <v>185</v>
      </c>
      <c r="K9" s="117">
        <f>IF(I9=0,0,J9/I9)</f>
        <v>2.5</v>
      </c>
      <c r="L9" s="123">
        <f>Teste!AA42</f>
        <v>0.26148409893992935</v>
      </c>
      <c r="M9" s="117">
        <f>Teste!AB42</f>
        <v>4.0294662311955136</v>
      </c>
      <c r="N9" s="117">
        <f>Teste!AF42</f>
        <v>106.60109289617486</v>
      </c>
      <c r="O9" s="123">
        <f>Teste!AD42</f>
        <v>4.9327354260089683E-2</v>
      </c>
      <c r="P9" s="219">
        <f>Teste!AE42</f>
        <v>0.1210762331838565</v>
      </c>
    </row>
    <row r="10" spans="2:21" s="179" customFormat="1" x14ac:dyDescent="0.25">
      <c r="B10" s="269">
        <f>B14</f>
        <v>41993</v>
      </c>
      <c r="C10" s="254">
        <f t="shared" ref="C10:J10" si="1">C14+C18+C22+C26+C30+C34+C38+C42+C46+C50+C54</f>
        <v>336</v>
      </c>
      <c r="D10" s="118">
        <f t="shared" si="1"/>
        <v>56</v>
      </c>
      <c r="E10" s="118">
        <f t="shared" si="1"/>
        <v>73</v>
      </c>
      <c r="F10" s="118">
        <f t="shared" si="1"/>
        <v>191</v>
      </c>
      <c r="G10" s="118">
        <f t="shared" si="1"/>
        <v>200</v>
      </c>
      <c r="H10" s="253">
        <f t="shared" si="1"/>
        <v>96758</v>
      </c>
      <c r="I10" s="251">
        <f t="shared" si="1"/>
        <v>155</v>
      </c>
      <c r="J10" s="118">
        <f t="shared" si="1"/>
        <v>424</v>
      </c>
      <c r="K10" s="117">
        <f t="shared" ref="K10:K11" si="2">IF(I10=0,0,J10/I10)</f>
        <v>2.7354838709677418</v>
      </c>
      <c r="L10" s="123">
        <f>Teste!AA43</f>
        <v>0.35067873303167418</v>
      </c>
      <c r="M10" s="117">
        <f>Teste!AB43</f>
        <v>5.782436410181214</v>
      </c>
      <c r="N10" s="117">
        <f>Teste!AF43</f>
        <v>153.27358490566039</v>
      </c>
      <c r="O10" s="123">
        <f>Teste!AD43</f>
        <v>8.0074487895716945E-2</v>
      </c>
      <c r="P10" s="219">
        <f>Teste!AE43</f>
        <v>0.1266294227188082</v>
      </c>
    </row>
    <row r="11" spans="2:21" s="179" customFormat="1" ht="15.75" thickBot="1" x14ac:dyDescent="0.3">
      <c r="B11" s="270">
        <f>B15</f>
        <v>41972</v>
      </c>
      <c r="C11" s="254">
        <f t="shared" ref="C11:J11" si="3">C15+C19+C23+C27+C31+C35+C39+C43+C47+C51+C55</f>
        <v>356</v>
      </c>
      <c r="D11" s="118">
        <f t="shared" si="3"/>
        <v>56</v>
      </c>
      <c r="E11" s="118">
        <f t="shared" si="3"/>
        <v>34</v>
      </c>
      <c r="F11" s="118">
        <f t="shared" si="3"/>
        <v>136</v>
      </c>
      <c r="G11" s="118">
        <f t="shared" si="3"/>
        <v>74</v>
      </c>
      <c r="H11" s="253">
        <f t="shared" si="3"/>
        <v>88114</v>
      </c>
      <c r="I11" s="251">
        <f t="shared" si="3"/>
        <v>60</v>
      </c>
      <c r="J11" s="118">
        <f t="shared" si="3"/>
        <v>113</v>
      </c>
      <c r="K11" s="119">
        <f t="shared" si="2"/>
        <v>1.8833333333333333</v>
      </c>
      <c r="L11" s="124">
        <f>Teste!AA44</f>
        <v>0.19169329073482427</v>
      </c>
      <c r="M11" s="119">
        <f>Teste!AB44</f>
        <v>9.9572679227352268</v>
      </c>
      <c r="N11" s="119">
        <f>Teste!AF44</f>
        <v>156.22123893805309</v>
      </c>
      <c r="O11" s="124">
        <f>Teste!AD44</f>
        <v>5.7553956834532377E-2</v>
      </c>
      <c r="P11" s="220">
        <f>Teste!AE44</f>
        <v>0.12949640287769784</v>
      </c>
    </row>
    <row r="12" spans="2:21" x14ac:dyDescent="0.25">
      <c r="B12" s="271" t="s">
        <v>18</v>
      </c>
      <c r="C12" s="194"/>
      <c r="D12" s="195"/>
      <c r="E12" s="195"/>
      <c r="F12" s="195"/>
      <c r="G12" s="195"/>
      <c r="H12" s="218"/>
      <c r="I12" s="195"/>
      <c r="J12" s="195"/>
      <c r="K12" s="195"/>
      <c r="L12" s="195"/>
      <c r="M12" s="195"/>
      <c r="N12" s="195"/>
      <c r="O12" s="195"/>
      <c r="P12" s="218"/>
      <c r="R12" s="179"/>
      <c r="S12" s="179"/>
      <c r="T12" s="179"/>
      <c r="U12" s="179"/>
    </row>
    <row r="13" spans="2:21" x14ac:dyDescent="0.25">
      <c r="B13" s="269">
        <f>IF($B$2="Tripda Report - Monthly",VLOOKUP(Teste!B3,Teste!$K$65:$L$76,2,0),Teste!B3)</f>
        <v>42000</v>
      </c>
      <c r="C13" s="252">
        <f>Teste!S3</f>
        <v>46</v>
      </c>
      <c r="D13" s="116">
        <f>Teste!N3</f>
        <v>7</v>
      </c>
      <c r="E13" s="116">
        <f>Teste!C3</f>
        <v>5</v>
      </c>
      <c r="F13" s="154">
        <f>Teste!U3</f>
        <v>33</v>
      </c>
      <c r="G13" s="154">
        <f>Teste!Y3</f>
        <v>14</v>
      </c>
      <c r="H13" s="253">
        <f>Teste!R3</f>
        <v>21868</v>
      </c>
      <c r="I13" s="248">
        <f>Teste!E3</f>
        <v>6</v>
      </c>
      <c r="J13" s="116">
        <f>Teste!F3</f>
        <v>19</v>
      </c>
      <c r="K13" s="117">
        <f>IF(I13=0,0,J13/I13)</f>
        <v>3.1666666666666665</v>
      </c>
      <c r="L13" s="123">
        <f>Teste!AA3</f>
        <v>0.13043478260869565</v>
      </c>
      <c r="M13" s="117">
        <f>Teste!AB3</f>
        <v>7.4750729963117655</v>
      </c>
      <c r="N13" s="170">
        <f>Teste!AF3</f>
        <v>189</v>
      </c>
      <c r="O13" s="171">
        <f>Teste!AD3</f>
        <v>0.26923076923076922</v>
      </c>
      <c r="P13" s="219">
        <f>Teste!AE3</f>
        <v>0</v>
      </c>
      <c r="R13" s="179"/>
      <c r="S13" s="179"/>
      <c r="T13" s="179"/>
      <c r="U13" s="179"/>
    </row>
    <row r="14" spans="2:21" x14ac:dyDescent="0.25">
      <c r="B14" s="269">
        <f>IF($B$2="Tripda Report - Monthly",VLOOKUP(Teste!B4,Teste!$K$65:$L$76,2,0),Teste!B4)</f>
        <v>41993</v>
      </c>
      <c r="C14" s="252">
        <f>Teste!S4</f>
        <v>52</v>
      </c>
      <c r="D14" s="116">
        <f>Teste!N4</f>
        <v>12</v>
      </c>
      <c r="E14" s="116">
        <f>Teste!C4</f>
        <v>21</v>
      </c>
      <c r="F14" s="154">
        <f>Teste!U4</f>
        <v>51</v>
      </c>
      <c r="G14" s="154">
        <f>Teste!Y4</f>
        <v>74</v>
      </c>
      <c r="H14" s="253">
        <f>Teste!R4</f>
        <v>22825</v>
      </c>
      <c r="I14" s="248">
        <f>Teste!E4</f>
        <v>44</v>
      </c>
      <c r="J14" s="200">
        <f>Teste!F4</f>
        <v>144</v>
      </c>
      <c r="K14" s="117">
        <f>IF(I14=0,0,J14/I14)</f>
        <v>3.2727272727272729</v>
      </c>
      <c r="L14" s="123">
        <f>Teste!AA4</f>
        <v>0.40366972477064222</v>
      </c>
      <c r="M14" s="117">
        <f>Teste!AB4</f>
        <v>7.1613708921499999</v>
      </c>
      <c r="N14" s="170">
        <f>Teste!AF4</f>
        <v>182.10416666666666</v>
      </c>
      <c r="O14" s="171">
        <f>Teste!AD4</f>
        <v>0.12562814070351758</v>
      </c>
      <c r="P14" s="219">
        <f>Teste!AE4</f>
        <v>0.15075376884422109</v>
      </c>
      <c r="R14" s="179"/>
      <c r="S14" s="179"/>
      <c r="T14" s="179"/>
      <c r="U14" s="179"/>
    </row>
    <row r="15" spans="2:21" ht="15.75" thickBot="1" x14ac:dyDescent="0.3">
      <c r="B15" s="269">
        <f>IF($B$2="Tripda Report - Monthly",VLOOKUP(Teste!B5,Teste!$K$65:$L$76,2,0),Teste!B5)</f>
        <v>41972</v>
      </c>
      <c r="C15" s="252">
        <f>Teste!S5</f>
        <v>49</v>
      </c>
      <c r="D15" s="116">
        <f>Teste!N5</f>
        <v>7</v>
      </c>
      <c r="E15" s="116">
        <f>Teste!C5</f>
        <v>13</v>
      </c>
      <c r="F15" s="154">
        <f>Teste!U5</f>
        <v>30</v>
      </c>
      <c r="G15" s="154">
        <f>Teste!Y5</f>
        <v>35</v>
      </c>
      <c r="H15" s="253">
        <f>Teste!R5</f>
        <v>8401</v>
      </c>
      <c r="I15" s="249">
        <f>Teste!E5</f>
        <v>14</v>
      </c>
      <c r="J15" s="122">
        <f>Teste!F5</f>
        <v>23</v>
      </c>
      <c r="K15" s="119">
        <f>IF(I15=0,0,J15/I15)</f>
        <v>1.6428571428571428</v>
      </c>
      <c r="L15" s="124">
        <f>Teste!AA5</f>
        <v>0.27450980392156865</v>
      </c>
      <c r="M15" s="119">
        <f>Teste!AB5</f>
        <v>5.4021946768636369</v>
      </c>
      <c r="N15" s="172">
        <f>Teste!AF5</f>
        <v>137.56521739130434</v>
      </c>
      <c r="O15" s="173">
        <f>Teste!AD5</f>
        <v>7.1428571428571425E-2</v>
      </c>
      <c r="P15" s="220">
        <f>Teste!AE5</f>
        <v>0.10714285714285714</v>
      </c>
      <c r="R15" s="179"/>
      <c r="S15" s="179"/>
      <c r="T15" s="179"/>
      <c r="U15" s="179"/>
    </row>
    <row r="16" spans="2:21" x14ac:dyDescent="0.25">
      <c r="B16" s="271" t="s">
        <v>19</v>
      </c>
      <c r="C16" s="194"/>
      <c r="D16" s="195"/>
      <c r="E16" s="195"/>
      <c r="F16" s="195"/>
      <c r="G16" s="195"/>
      <c r="H16" s="218"/>
      <c r="I16" s="195"/>
      <c r="J16" s="195"/>
      <c r="K16" s="195"/>
      <c r="L16" s="195"/>
      <c r="M16" s="195"/>
      <c r="N16" s="195"/>
      <c r="O16" s="195"/>
      <c r="P16" s="218"/>
      <c r="R16" s="258" t="s">
        <v>479</v>
      </c>
      <c r="S16" s="258"/>
      <c r="T16" s="179"/>
      <c r="U16" s="179"/>
    </row>
    <row r="17" spans="2:21" x14ac:dyDescent="0.25">
      <c r="B17" s="269">
        <f>IF($B$2="Tripda Report - Monthly",VLOOKUP(Teste!B6,Teste!$K$65:$L$76,2,0),Teste!B6)</f>
        <v>42000</v>
      </c>
      <c r="C17" s="252">
        <f>Teste!S6</f>
        <v>46</v>
      </c>
      <c r="D17" s="116">
        <f>Teste!N6</f>
        <v>8</v>
      </c>
      <c r="E17" s="116">
        <f>Teste!C6</f>
        <v>3</v>
      </c>
      <c r="F17" s="116">
        <f>Teste!U6</f>
        <v>19</v>
      </c>
      <c r="G17" s="116">
        <f>Teste!Y6</f>
        <v>7</v>
      </c>
      <c r="H17" s="253">
        <f>Teste!R6</f>
        <v>12693</v>
      </c>
      <c r="I17" s="250">
        <f>Teste!E6</f>
        <v>6</v>
      </c>
      <c r="J17" s="154">
        <f>Teste!F6</f>
        <v>19</v>
      </c>
      <c r="K17" s="117">
        <f>IF(I17=0,0,J17/I17)</f>
        <v>3.1666666666666665</v>
      </c>
      <c r="L17" s="123">
        <f>Teste!AA6</f>
        <v>0.3</v>
      </c>
      <c r="M17" s="117">
        <f>Teste!AB6</f>
        <v>12.116811154000001</v>
      </c>
      <c r="N17" s="117">
        <f>Teste!AF6</f>
        <v>238.47368421052633</v>
      </c>
      <c r="O17" s="123">
        <f>Teste!AD6</f>
        <v>0</v>
      </c>
      <c r="P17" s="219">
        <f>Teste!AE6</f>
        <v>9.5238095238095233E-2</v>
      </c>
      <c r="R17" s="179"/>
      <c r="S17" s="179"/>
      <c r="T17" s="179"/>
      <c r="U17" s="179"/>
    </row>
    <row r="18" spans="2:21" x14ac:dyDescent="0.25">
      <c r="B18" s="269">
        <f>IF($B$2="Tripda Report - Monthly",VLOOKUP(Teste!B7,Teste!$K$65:$L$76,2,0),Teste!B7)</f>
        <v>41993</v>
      </c>
      <c r="C18" s="252">
        <f>Teste!S7</f>
        <v>56</v>
      </c>
      <c r="D18" s="116">
        <f>Teste!N7</f>
        <v>9</v>
      </c>
      <c r="E18" s="116">
        <f>Teste!C7</f>
        <v>7</v>
      </c>
      <c r="F18" s="116">
        <f>Teste!U7</f>
        <v>26</v>
      </c>
      <c r="G18" s="116">
        <f>Teste!Y7</f>
        <v>12</v>
      </c>
      <c r="H18" s="253">
        <f>Teste!R7</f>
        <v>12201</v>
      </c>
      <c r="I18" s="248">
        <f>Teste!E7</f>
        <v>19</v>
      </c>
      <c r="J18" s="116">
        <f>Teste!F7</f>
        <v>55</v>
      </c>
      <c r="K18" s="117">
        <f>IF(I18=0,0,J18/I18)</f>
        <v>2.8947368421052633</v>
      </c>
      <c r="L18" s="123">
        <f>Teste!AA7</f>
        <v>0.41304347826086957</v>
      </c>
      <c r="M18" s="117">
        <f>Teste!AB7</f>
        <v>10.103404389024391</v>
      </c>
      <c r="N18" s="117">
        <f>Teste!AF7</f>
        <v>259.34545454545457</v>
      </c>
      <c r="O18" s="171">
        <f>Teste!AD7</f>
        <v>1.7241379310344827E-2</v>
      </c>
      <c r="P18" s="219">
        <f>Teste!AE7</f>
        <v>3.4482758620689655E-2</v>
      </c>
      <c r="R18" s="179"/>
      <c r="S18" s="179"/>
      <c r="T18" s="179"/>
      <c r="U18" s="179"/>
    </row>
    <row r="19" spans="2:21" ht="15.75" thickBot="1" x14ac:dyDescent="0.3">
      <c r="B19" s="269">
        <f>IF($B$2="Tripda Report - Monthly",VLOOKUP(Teste!B8,Teste!$K$65:$L$76,2,0),Teste!B8)</f>
        <v>41972</v>
      </c>
      <c r="C19" s="252">
        <f>Teste!S8</f>
        <v>19</v>
      </c>
      <c r="D19" s="116">
        <f>Teste!N8</f>
        <v>4</v>
      </c>
      <c r="E19" s="116">
        <f>Teste!C8</f>
        <v>1</v>
      </c>
      <c r="F19" s="116">
        <f>Teste!U8</f>
        <v>8</v>
      </c>
      <c r="G19" s="116">
        <f>Teste!Y8</f>
        <v>1</v>
      </c>
      <c r="H19" s="253">
        <f>Teste!R8</f>
        <v>3542</v>
      </c>
      <c r="I19" s="249">
        <f>Teste!E8</f>
        <v>9</v>
      </c>
      <c r="J19" s="122">
        <f>Teste!F8</f>
        <v>22</v>
      </c>
      <c r="K19" s="119">
        <f>IF(I19=0,0,J19/I19)</f>
        <v>2.4444444444444446</v>
      </c>
      <c r="L19" s="124">
        <f>Teste!AA8</f>
        <v>0.39130434782608697</v>
      </c>
      <c r="M19" s="119">
        <f>Teste!AB8</f>
        <v>5.8820766576923074</v>
      </c>
      <c r="N19" s="119">
        <f>Teste!AF8</f>
        <v>119.31818181818181</v>
      </c>
      <c r="O19" s="124">
        <f>Teste!AD8</f>
        <v>0</v>
      </c>
      <c r="P19" s="220">
        <f>Teste!AE8</f>
        <v>0</v>
      </c>
      <c r="R19" s="179"/>
      <c r="S19" s="179"/>
      <c r="T19" s="179"/>
      <c r="U19" s="179"/>
    </row>
    <row r="20" spans="2:21" x14ac:dyDescent="0.25">
      <c r="B20" s="271" t="s">
        <v>20</v>
      </c>
      <c r="C20" s="194"/>
      <c r="D20" s="195"/>
      <c r="E20" s="195"/>
      <c r="F20" s="195"/>
      <c r="G20" s="195"/>
      <c r="H20" s="218"/>
      <c r="I20" s="195"/>
      <c r="J20" s="195"/>
      <c r="K20" s="195"/>
      <c r="L20" s="195"/>
      <c r="M20" s="195"/>
      <c r="N20" s="195"/>
      <c r="O20" s="195"/>
      <c r="P20" s="218"/>
      <c r="R20" s="179"/>
      <c r="S20" s="179"/>
      <c r="T20" s="179"/>
      <c r="U20" s="179"/>
    </row>
    <row r="21" spans="2:21" x14ac:dyDescent="0.25">
      <c r="B21" s="269">
        <f>IF($B$2="Tripda Report - Monthly",VLOOKUP(Teste!B9,Teste!$K$65:$L$76,2,0),Teste!B9)</f>
        <v>42000</v>
      </c>
      <c r="C21" s="252">
        <f>Teste!S9</f>
        <v>12</v>
      </c>
      <c r="D21" s="116">
        <f>Teste!N9</f>
        <v>2</v>
      </c>
      <c r="E21" s="116">
        <f>Teste!C9</f>
        <v>0</v>
      </c>
      <c r="F21" s="116">
        <f>Teste!U9</f>
        <v>8</v>
      </c>
      <c r="G21" s="116">
        <f>Teste!Y9</f>
        <v>0</v>
      </c>
      <c r="H21" s="253">
        <f>Teste!R9</f>
        <v>5414</v>
      </c>
      <c r="I21" s="248">
        <f>Teste!E9</f>
        <v>2</v>
      </c>
      <c r="J21" s="116">
        <f>Teste!F9</f>
        <v>5</v>
      </c>
      <c r="K21" s="117">
        <f>IF(I21=0,0,J21/I21)</f>
        <v>2.5</v>
      </c>
      <c r="L21" s="123">
        <f>Teste!AA9</f>
        <v>0.25</v>
      </c>
      <c r="M21" s="117">
        <f>Teste!AB9</f>
        <v>0.92045760345000005</v>
      </c>
      <c r="N21" s="117">
        <f>Teste!AF9</f>
        <v>23.2</v>
      </c>
      <c r="O21" s="123">
        <f>Teste!AD9</f>
        <v>0</v>
      </c>
      <c r="P21" s="219">
        <f>Teste!AE9</f>
        <v>0</v>
      </c>
      <c r="R21" s="179"/>
      <c r="S21" s="179"/>
      <c r="T21" s="179"/>
      <c r="U21" s="179"/>
    </row>
    <row r="22" spans="2:21" x14ac:dyDescent="0.25">
      <c r="B22" s="269">
        <f>IF($B$2="Tripda Report - Monthly",VLOOKUP(Teste!B10,Teste!$K$65:$L$76,2,0),Teste!B10)</f>
        <v>41993</v>
      </c>
      <c r="C22" s="252">
        <f>Teste!S10</f>
        <v>6</v>
      </c>
      <c r="D22" s="116">
        <f>Teste!N10</f>
        <v>3</v>
      </c>
      <c r="E22" s="116">
        <f>Teste!C10</f>
        <v>1</v>
      </c>
      <c r="F22" s="116">
        <f>Teste!U10</f>
        <v>4</v>
      </c>
      <c r="G22" s="116">
        <f>Teste!Y10</f>
        <v>3</v>
      </c>
      <c r="H22" s="253">
        <f>Teste!R10</f>
        <v>1670</v>
      </c>
      <c r="I22" s="248">
        <f>Teste!E10</f>
        <v>5</v>
      </c>
      <c r="J22" s="116">
        <f>Teste!F10</f>
        <v>14</v>
      </c>
      <c r="K22" s="117">
        <f>IF(I22=0,0,J22/I22)</f>
        <v>2.8</v>
      </c>
      <c r="L22" s="123">
        <f>Teste!AA10</f>
        <v>0.21739130434782608</v>
      </c>
      <c r="M22" s="117">
        <f>Teste!AB10</f>
        <v>2.9775408838874999</v>
      </c>
      <c r="N22" s="117">
        <f>Teste!AF10</f>
        <v>95.857142857142861</v>
      </c>
      <c r="O22" s="123">
        <f>Teste!AD10</f>
        <v>0</v>
      </c>
      <c r="P22" s="219">
        <f>Teste!AE10</f>
        <v>0</v>
      </c>
      <c r="R22" s="179"/>
      <c r="S22" s="179"/>
      <c r="T22" s="179"/>
      <c r="U22" s="179"/>
    </row>
    <row r="23" spans="2:21" ht="15.75" thickBot="1" x14ac:dyDescent="0.3">
      <c r="B23" s="269">
        <f>IF($B$2="Tripda Report - Monthly",VLOOKUP(Teste!B11,Teste!$K$65:$L$76,2,0),Teste!B11)</f>
        <v>41972</v>
      </c>
      <c r="C23" s="252">
        <f>Teste!S11</f>
        <v>11</v>
      </c>
      <c r="D23" s="116">
        <f>Teste!N11</f>
        <v>8</v>
      </c>
      <c r="E23" s="116">
        <f>Teste!C11</f>
        <v>2</v>
      </c>
      <c r="F23" s="116">
        <f>Teste!U11</f>
        <v>14</v>
      </c>
      <c r="G23" s="116">
        <f>Teste!Y11</f>
        <v>3</v>
      </c>
      <c r="H23" s="253">
        <f>Teste!R11</f>
        <v>17048</v>
      </c>
      <c r="I23" s="249">
        <f>Teste!E11</f>
        <v>4</v>
      </c>
      <c r="J23" s="122">
        <f>Teste!F11</f>
        <v>10</v>
      </c>
      <c r="K23" s="119">
        <f>IF(I23=0,0,J23/I23)</f>
        <v>2.5</v>
      </c>
      <c r="L23" s="124">
        <f>Teste!AA11</f>
        <v>0.2857142857142857</v>
      </c>
      <c r="M23" s="119">
        <f>Teste!AB11</f>
        <v>8.6885619234749996</v>
      </c>
      <c r="N23" s="119">
        <f>Teste!AF11</f>
        <v>151.4</v>
      </c>
      <c r="O23" s="124">
        <f>Teste!AD11</f>
        <v>0</v>
      </c>
      <c r="P23" s="220">
        <f>Teste!AE11</f>
        <v>0</v>
      </c>
      <c r="R23" s="179"/>
      <c r="S23" s="179"/>
      <c r="T23" s="179"/>
      <c r="U23" s="179"/>
    </row>
    <row r="24" spans="2:21" x14ac:dyDescent="0.25">
      <c r="B24" s="272" t="s">
        <v>536</v>
      </c>
      <c r="C24" s="194"/>
      <c r="D24" s="195"/>
      <c r="E24" s="195"/>
      <c r="F24" s="195"/>
      <c r="G24" s="195"/>
      <c r="H24" s="218"/>
      <c r="I24" s="195"/>
      <c r="J24" s="195"/>
      <c r="K24" s="195"/>
      <c r="L24" s="195"/>
      <c r="M24" s="195"/>
      <c r="N24" s="195"/>
      <c r="O24" s="195"/>
      <c r="P24" s="218"/>
      <c r="R24" s="258" t="s">
        <v>509</v>
      </c>
      <c r="S24" s="258"/>
      <c r="T24" s="179"/>
      <c r="U24" s="179"/>
    </row>
    <row r="25" spans="2:21" x14ac:dyDescent="0.25">
      <c r="B25" s="269">
        <f>IF($B$2="Tripda Report - Monthly",VLOOKUP(Teste!B12,Teste!$K$65:$L$76,2,0),Teste!B12)</f>
        <v>42000</v>
      </c>
      <c r="C25" s="252">
        <f>Teste!S12+Teste!S24</f>
        <v>26</v>
      </c>
      <c r="D25" s="116">
        <f>Teste!N12+Teste!N24</f>
        <v>3</v>
      </c>
      <c r="E25" s="116">
        <f>Teste!C12+Teste!C24</f>
        <v>21</v>
      </c>
      <c r="F25" s="116">
        <f>Teste!U12+Teste!U24</f>
        <v>16</v>
      </c>
      <c r="G25" s="116">
        <f>Teste!Y12+Teste!Y24</f>
        <v>36</v>
      </c>
      <c r="H25" s="253">
        <f>Teste!R12+Teste!R24</f>
        <v>2286</v>
      </c>
      <c r="I25" s="248">
        <f>Teste!E12+Teste!E24</f>
        <v>17</v>
      </c>
      <c r="J25" s="116">
        <f>Teste!F12+Teste!F24</f>
        <v>58</v>
      </c>
      <c r="K25" s="117">
        <f>IF(I25=0,0,J25/I25)</f>
        <v>3.4117647058823528</v>
      </c>
      <c r="L25" s="123">
        <f>Teste!AA12</f>
        <v>0.54838709677419351</v>
      </c>
      <c r="M25" s="117">
        <f>Teste!AB12</f>
        <v>1.9551519202272727</v>
      </c>
      <c r="N25" s="117">
        <f>Teste!AF12</f>
        <v>37.482758620689658</v>
      </c>
      <c r="O25" s="123">
        <f>Teste!AD12</f>
        <v>2.9850746268656716E-2</v>
      </c>
      <c r="P25" s="219">
        <f>Teste!AE12</f>
        <v>0.1044776119402985</v>
      </c>
      <c r="R25" s="179"/>
      <c r="S25" s="179"/>
      <c r="T25" s="179"/>
      <c r="U25" s="35"/>
    </row>
    <row r="26" spans="2:21" x14ac:dyDescent="0.25">
      <c r="B26" s="269">
        <f>IF($B$2="Tripda Report - Monthly",VLOOKUP(Teste!B13,Teste!$K$65:$L$76,2,0),Teste!B13)</f>
        <v>41993</v>
      </c>
      <c r="C26" s="252">
        <f>Teste!S13+Teste!S25</f>
        <v>43</v>
      </c>
      <c r="D26" s="116">
        <f>Teste!N13+Teste!N25</f>
        <v>8</v>
      </c>
      <c r="E26" s="116">
        <f>Teste!C13+Teste!C25</f>
        <v>15</v>
      </c>
      <c r="F26" s="116">
        <f>Teste!U13+Teste!U25</f>
        <v>25</v>
      </c>
      <c r="G26" s="116">
        <f>Teste!Y13+Teste!Y25</f>
        <v>29</v>
      </c>
      <c r="H26" s="253">
        <f>Teste!R13+Teste!R25</f>
        <v>4127</v>
      </c>
      <c r="I26" s="248">
        <f>Teste!E13+Teste!E25</f>
        <v>22</v>
      </c>
      <c r="J26" s="116">
        <f>Teste!F13+Teste!F25</f>
        <v>69</v>
      </c>
      <c r="K26" s="117">
        <f>IF(I26=0,0,J26/I26)</f>
        <v>3.1363636363636362</v>
      </c>
      <c r="L26" s="123">
        <f>Teste!AA13</f>
        <v>0.5641025641025641</v>
      </c>
      <c r="M26" s="117">
        <f>Teste!AB13</f>
        <v>2.1377319018612901</v>
      </c>
      <c r="N26" s="117">
        <f>Teste!AF13</f>
        <v>34.869565217391305</v>
      </c>
      <c r="O26" s="123">
        <f>Teste!AD13</f>
        <v>0</v>
      </c>
      <c r="P26" s="219">
        <f>Teste!AE13</f>
        <v>0.14814814814814814</v>
      </c>
      <c r="R26" s="179"/>
      <c r="S26" s="179"/>
      <c r="T26" s="179"/>
      <c r="U26" s="35"/>
    </row>
    <row r="27" spans="2:21" ht="15.75" thickBot="1" x14ac:dyDescent="0.3">
      <c r="B27" s="269">
        <f>IF($B$2="Tripda Report - Monthly",VLOOKUP(Teste!B14,Teste!$K$65:$L$76,2,0),Teste!B14)</f>
        <v>41972</v>
      </c>
      <c r="C27" s="252">
        <f>Teste!S14+Teste!S26</f>
        <v>42</v>
      </c>
      <c r="D27" s="116">
        <f>Teste!N14+Teste!N26</f>
        <v>6</v>
      </c>
      <c r="E27" s="116">
        <f>Teste!C14+Teste!C26</f>
        <v>3</v>
      </c>
      <c r="F27" s="116">
        <f>Teste!U14+Teste!U26</f>
        <v>16</v>
      </c>
      <c r="G27" s="116">
        <f>Teste!Y14+Teste!Y26</f>
        <v>5</v>
      </c>
      <c r="H27" s="253">
        <f>Teste!R14+Teste!R26</f>
        <v>911</v>
      </c>
      <c r="I27" s="248">
        <f>Teste!E14+Teste!E26</f>
        <v>3</v>
      </c>
      <c r="J27" s="116">
        <f>Teste!F14+Teste!F26</f>
        <v>4</v>
      </c>
      <c r="K27" s="119">
        <f>IF(I27=0,0,J27/I27)</f>
        <v>1.3333333333333333</v>
      </c>
      <c r="L27" s="124">
        <f>Teste!AA14</f>
        <v>0.1</v>
      </c>
      <c r="M27" s="119">
        <f>Teste!AB14</f>
        <v>1.4458968745666667</v>
      </c>
      <c r="N27" s="119">
        <f>Teste!AF14</f>
        <v>12</v>
      </c>
      <c r="O27" s="124">
        <f>Teste!AD14</f>
        <v>0</v>
      </c>
      <c r="P27" s="220">
        <f>Teste!AE14</f>
        <v>0</v>
      </c>
      <c r="R27" s="179"/>
      <c r="S27" s="179"/>
      <c r="T27" s="179"/>
      <c r="U27" s="35"/>
    </row>
    <row r="28" spans="2:21" s="35" customFormat="1" x14ac:dyDescent="0.25">
      <c r="B28" s="272" t="s">
        <v>468</v>
      </c>
      <c r="C28" s="194"/>
      <c r="D28" s="195"/>
      <c r="E28" s="195"/>
      <c r="F28" s="195"/>
      <c r="G28" s="195"/>
      <c r="H28" s="218"/>
      <c r="I28" s="195"/>
      <c r="J28" s="195"/>
      <c r="K28" s="195"/>
      <c r="L28" s="195"/>
      <c r="M28" s="195"/>
      <c r="N28" s="195"/>
      <c r="O28" s="195"/>
      <c r="P28" s="218"/>
      <c r="R28" s="179"/>
      <c r="S28" s="179"/>
      <c r="T28" s="179"/>
    </row>
    <row r="29" spans="2:21" s="35" customFormat="1" x14ac:dyDescent="0.25">
      <c r="B29" s="269">
        <f>IF($B$2="Tripda Report - Monthly",VLOOKUP(Teste!B15,Teste!$K$65:$L$76,2,0),Teste!B15)</f>
        <v>42000</v>
      </c>
      <c r="C29" s="252">
        <f>Teste!S15</f>
        <v>37</v>
      </c>
      <c r="D29" s="116">
        <f>Teste!N15</f>
        <v>2</v>
      </c>
      <c r="E29" s="116">
        <f>Teste!C15</f>
        <v>9</v>
      </c>
      <c r="F29" s="116">
        <f>Teste!U15</f>
        <v>13</v>
      </c>
      <c r="G29" s="116">
        <f>Teste!Y15</f>
        <v>23</v>
      </c>
      <c r="H29" s="253">
        <f>Teste!R15</f>
        <v>5532</v>
      </c>
      <c r="I29" s="248">
        <f>Teste!E15</f>
        <v>7</v>
      </c>
      <c r="J29" s="116">
        <f>Teste!F15</f>
        <v>18</v>
      </c>
      <c r="K29" s="117">
        <f>IF(I29=0,0,J29/I29)</f>
        <v>2.5714285714285716</v>
      </c>
      <c r="L29" s="123">
        <f>Teste!AA15</f>
        <v>0.29166666666666669</v>
      </c>
      <c r="M29" s="117">
        <f>Teste!AB15</f>
        <v>4.7707337664000002</v>
      </c>
      <c r="N29" s="117">
        <f>Teste!AF15</f>
        <v>132.16666666666666</v>
      </c>
      <c r="O29" s="123">
        <f>Teste!AD15</f>
        <v>4.5454545454545456E-2</v>
      </c>
      <c r="P29" s="219">
        <f>Teste!AE15</f>
        <v>0.13636363636363635</v>
      </c>
      <c r="R29" s="179"/>
      <c r="S29" s="179"/>
      <c r="T29" s="179"/>
      <c r="U29" s="179"/>
    </row>
    <row r="30" spans="2:21" s="35" customFormat="1" x14ac:dyDescent="0.25">
      <c r="B30" s="269">
        <f>IF($B$2="Tripda Report - Monthly",VLOOKUP(Teste!B16,Teste!$K$65:$L$76,2,0),Teste!B16)</f>
        <v>41993</v>
      </c>
      <c r="C30" s="252">
        <f>Teste!S16</f>
        <v>27</v>
      </c>
      <c r="D30" s="116">
        <f>Teste!N16</f>
        <v>3</v>
      </c>
      <c r="E30" s="116">
        <f>Teste!C16</f>
        <v>18</v>
      </c>
      <c r="F30" s="116">
        <f>Teste!U16</f>
        <v>16</v>
      </c>
      <c r="G30" s="116">
        <f>Teste!Y16</f>
        <v>40</v>
      </c>
      <c r="H30" s="253">
        <f>Teste!R16</f>
        <v>8729</v>
      </c>
      <c r="I30" s="248">
        <f>Teste!E16</f>
        <v>31</v>
      </c>
      <c r="J30" s="116">
        <f>Teste!F16</f>
        <v>87</v>
      </c>
      <c r="K30" s="117">
        <f>IF(I30=0,0,J30/I30)</f>
        <v>2.806451612903226</v>
      </c>
      <c r="L30" s="123">
        <f>Teste!AA16</f>
        <v>0.59615384615384615</v>
      </c>
      <c r="M30" s="117">
        <f>Teste!AB16</f>
        <v>5.3075967228179106</v>
      </c>
      <c r="N30" s="117">
        <f>Teste!AF16</f>
        <v>148.31034482758622</v>
      </c>
      <c r="O30" s="123">
        <f>Teste!AD16</f>
        <v>0.11504424778761062</v>
      </c>
      <c r="P30" s="219">
        <f>Teste!AE16</f>
        <v>0.11504424778761062</v>
      </c>
      <c r="R30" s="179"/>
      <c r="S30" s="179"/>
      <c r="T30" s="179"/>
      <c r="U30" s="179"/>
    </row>
    <row r="31" spans="2:21" s="35" customFormat="1" ht="16.5" customHeight="1" thickBot="1" x14ac:dyDescent="0.3">
      <c r="B31" s="269">
        <f>IF($B$2="Tripda Report - Monthly",VLOOKUP(Teste!B17,Teste!$K$65:$L$76,2,0),Teste!B17)</f>
        <v>41972</v>
      </c>
      <c r="C31" s="252">
        <f>Teste!S17</f>
        <v>25</v>
      </c>
      <c r="D31" s="116">
        <f>Teste!N17</f>
        <v>3</v>
      </c>
      <c r="E31" s="116">
        <f>Teste!C17</f>
        <v>9</v>
      </c>
      <c r="F31" s="116">
        <f>Teste!U17</f>
        <v>12</v>
      </c>
      <c r="G31" s="116">
        <f>Teste!Y17</f>
        <v>13</v>
      </c>
      <c r="H31" s="253">
        <f>Teste!R17</f>
        <v>5064</v>
      </c>
      <c r="I31" s="248">
        <f>Teste!E17</f>
        <v>7</v>
      </c>
      <c r="J31" s="116">
        <f>Teste!F17</f>
        <v>17</v>
      </c>
      <c r="K31" s="119">
        <f>IF(I31=0,0,J31/I31)</f>
        <v>2.4285714285714284</v>
      </c>
      <c r="L31" s="123">
        <f>Teste!AA17</f>
        <v>0.22580645161290322</v>
      </c>
      <c r="M31" s="117">
        <f>Teste!AB17</f>
        <v>4.5060536012800005</v>
      </c>
      <c r="N31" s="117">
        <f>Teste!AF17</f>
        <v>128.23529411764707</v>
      </c>
      <c r="O31" s="123">
        <f>Teste!AD17</f>
        <v>0.14814814814814814</v>
      </c>
      <c r="P31" s="219">
        <f>Teste!AE17</f>
        <v>0.22222222222222221</v>
      </c>
      <c r="R31" s="179"/>
      <c r="S31" s="179"/>
      <c r="T31" s="179"/>
      <c r="U31" s="179"/>
    </row>
    <row r="32" spans="2:21" s="35" customFormat="1" x14ac:dyDescent="0.25">
      <c r="B32" s="272" t="s">
        <v>546</v>
      </c>
      <c r="C32" s="194"/>
      <c r="D32" s="195"/>
      <c r="E32" s="195"/>
      <c r="F32" s="195"/>
      <c r="G32" s="195"/>
      <c r="H32" s="218"/>
      <c r="I32" s="195"/>
      <c r="J32" s="195"/>
      <c r="K32" s="195"/>
      <c r="L32" s="195"/>
      <c r="M32" s="195"/>
      <c r="N32" s="195"/>
      <c r="O32" s="195"/>
      <c r="P32" s="218"/>
    </row>
    <row r="33" spans="2:16" s="35" customFormat="1" x14ac:dyDescent="0.25">
      <c r="B33" s="269">
        <f>IF($B$2="Tripda Report - Monthly",VLOOKUP(Teste!B18,Teste!$K$65:$L$76,2,0),Teste!B18)</f>
        <v>42000</v>
      </c>
      <c r="C33" s="252">
        <f>Teste!S18 + Teste!S36</f>
        <v>55</v>
      </c>
      <c r="D33" s="116">
        <f>Teste!N18 + Teste!N36</f>
        <v>7</v>
      </c>
      <c r="E33" s="116">
        <f>Teste!C18 + Teste!C36</f>
        <v>8</v>
      </c>
      <c r="F33" s="116">
        <f>Teste!U18 + Teste!U36</f>
        <v>15</v>
      </c>
      <c r="G33" s="116">
        <f>Teste!Y18 + Teste!Y36</f>
        <v>10</v>
      </c>
      <c r="H33" s="253">
        <f>Teste!R18 + Teste!R36</f>
        <v>22863</v>
      </c>
      <c r="I33" s="248">
        <f>Teste!E18 + Teste!E36</f>
        <v>0</v>
      </c>
      <c r="J33" s="116">
        <f>Teste!F18 + Teste!F36</f>
        <v>3</v>
      </c>
      <c r="K33" s="117">
        <f>IF(I33=0,0,J33/I33)</f>
        <v>0</v>
      </c>
      <c r="L33" s="123">
        <f>Teste!AA18</f>
        <v>0</v>
      </c>
      <c r="M33" s="117">
        <f>Teste!AB18</f>
        <v>33.600613270000004</v>
      </c>
      <c r="N33" s="117">
        <f>Teste!AF18</f>
        <v>700</v>
      </c>
      <c r="O33" s="123">
        <f>Teste!AD18</f>
        <v>0</v>
      </c>
      <c r="P33" s="219">
        <f>Teste!AE18</f>
        <v>0.75</v>
      </c>
    </row>
    <row r="34" spans="2:16" s="35" customFormat="1" ht="16.5" customHeight="1" x14ac:dyDescent="0.25">
      <c r="B34" s="269">
        <f>IF($B$2="Tripda Report - Monthly",VLOOKUP(Teste!B19,Teste!$K$65:$L$76,2,0),Teste!B19)</f>
        <v>41993</v>
      </c>
      <c r="C34" s="252">
        <f>Teste!S19 + Teste!S37</f>
        <v>38</v>
      </c>
      <c r="D34" s="116">
        <f>Teste!N19 + Teste!N37</f>
        <v>7</v>
      </c>
      <c r="E34" s="116">
        <f>Teste!C19 + Teste!C37</f>
        <v>4</v>
      </c>
      <c r="F34" s="116">
        <f>Teste!U19 + Teste!U37</f>
        <v>15</v>
      </c>
      <c r="G34" s="116">
        <f>Teste!Y19 + Teste!Y37</f>
        <v>5</v>
      </c>
      <c r="H34" s="253">
        <f>Teste!R19 + Teste!R37</f>
        <v>17386</v>
      </c>
      <c r="I34" s="248">
        <f>Teste!E19 + Teste!E37</f>
        <v>4</v>
      </c>
      <c r="J34" s="116">
        <f>Teste!F19 + Teste!F37</f>
        <v>7</v>
      </c>
      <c r="K34" s="117">
        <f>IF(I34=0,0,J34/I34)</f>
        <v>1.75</v>
      </c>
      <c r="L34" s="123">
        <f>Teste!AA19</f>
        <v>0.33333333333333331</v>
      </c>
      <c r="M34" s="117">
        <f>Teste!AB19</f>
        <v>25.613267486960002</v>
      </c>
      <c r="N34" s="117">
        <f>Teste!AF19</f>
        <v>796.57142857142856</v>
      </c>
      <c r="O34" s="123">
        <f>Teste!AD19</f>
        <v>0.30769230769230771</v>
      </c>
      <c r="P34" s="219">
        <f>Teste!AE19</f>
        <v>7.6923076923076927E-2</v>
      </c>
    </row>
    <row r="35" spans="2:16" s="35" customFormat="1" ht="15.75" thickBot="1" x14ac:dyDescent="0.3">
      <c r="B35" s="269">
        <f>IF($B$2="Tripda Report - Monthly",VLOOKUP(Teste!B20,Teste!$K$65:$L$76,2,0),Teste!B20)</f>
        <v>41972</v>
      </c>
      <c r="C35" s="252">
        <f>Teste!S20 + Teste!S38</f>
        <v>25</v>
      </c>
      <c r="D35" s="116">
        <f>Teste!N20 + Teste!N38</f>
        <v>1</v>
      </c>
      <c r="E35" s="116">
        <f>Teste!C20 + Teste!C38</f>
        <v>0</v>
      </c>
      <c r="F35" s="116">
        <f>Teste!U20 + Teste!U38</f>
        <v>3</v>
      </c>
      <c r="G35" s="116">
        <f>Teste!Y20 + Teste!Y38</f>
        <v>0</v>
      </c>
      <c r="H35" s="253">
        <f>Teste!R20 + Teste!R38</f>
        <v>9715</v>
      </c>
      <c r="I35" s="248">
        <f>Teste!E20 + Teste!E38</f>
        <v>2</v>
      </c>
      <c r="J35" s="116">
        <f>Teste!F20 + Teste!F38</f>
        <v>3</v>
      </c>
      <c r="K35" s="119">
        <f>IF(I35=0,0,J35/I35)</f>
        <v>1.5</v>
      </c>
      <c r="L35" s="123">
        <f>Teste!AA20</f>
        <v>0.16666666666666666</v>
      </c>
      <c r="M35" s="117">
        <f>Teste!AB20</f>
        <v>7.4881366715999995</v>
      </c>
      <c r="N35" s="117">
        <f>Teste!AF20</f>
        <v>276.33333333333331</v>
      </c>
      <c r="O35" s="123">
        <f>Teste!AD20</f>
        <v>0</v>
      </c>
      <c r="P35" s="219">
        <f>Teste!AE20</f>
        <v>0.25</v>
      </c>
    </row>
    <row r="36" spans="2:16" s="179" customFormat="1" x14ac:dyDescent="0.25">
      <c r="B36" s="272" t="s">
        <v>486</v>
      </c>
      <c r="C36" s="194"/>
      <c r="D36" s="195"/>
      <c r="E36" s="195"/>
      <c r="F36" s="195"/>
      <c r="G36" s="195"/>
      <c r="H36" s="218"/>
      <c r="I36" s="195"/>
      <c r="J36" s="195"/>
      <c r="K36" s="195"/>
      <c r="L36" s="195"/>
      <c r="M36" s="195"/>
      <c r="N36" s="195"/>
      <c r="O36" s="195"/>
      <c r="P36" s="218"/>
    </row>
    <row r="37" spans="2:16" s="179" customFormat="1" x14ac:dyDescent="0.25">
      <c r="B37" s="269">
        <f>IF($B$2="Tripda Report - Monthly",VLOOKUP(Teste!B21,Teste!$K$65:$L$76,2,0),Teste!B21)</f>
        <v>42000</v>
      </c>
      <c r="C37" s="252">
        <f>Teste!S21</f>
        <v>13</v>
      </c>
      <c r="D37" s="116">
        <f>Teste!N21</f>
        <v>0</v>
      </c>
      <c r="E37" s="116">
        <f>Teste!C21</f>
        <v>0</v>
      </c>
      <c r="F37" s="116">
        <f>Teste!U21</f>
        <v>1</v>
      </c>
      <c r="G37" s="116">
        <f>Teste!Y21</f>
        <v>0</v>
      </c>
      <c r="H37" s="253">
        <f>Teste!R21</f>
        <v>7236</v>
      </c>
      <c r="I37" s="248">
        <f>Teste!E21</f>
        <v>0</v>
      </c>
      <c r="J37" s="116">
        <f>Teste!F21</f>
        <v>0</v>
      </c>
      <c r="K37" s="117">
        <f>IF(I37=0,0,J37/I37)</f>
        <v>0</v>
      </c>
      <c r="L37" s="123">
        <f>Teste!AA21</f>
        <v>0</v>
      </c>
      <c r="M37" s="117">
        <f>Teste!AB21</f>
        <v>0</v>
      </c>
      <c r="N37" s="117">
        <f>Teste!AF21</f>
        <v>0</v>
      </c>
      <c r="O37" s="123">
        <f>Teste!AD21</f>
        <v>0</v>
      </c>
      <c r="P37" s="219">
        <f>Teste!AE21</f>
        <v>0</v>
      </c>
    </row>
    <row r="38" spans="2:16" s="179" customFormat="1" x14ac:dyDescent="0.25">
      <c r="B38" s="269">
        <f>IF($B$2="Tripda Report - Monthly",VLOOKUP(Teste!B22,Teste!$K$65:$L$76,2,0),Teste!B22)</f>
        <v>41993</v>
      </c>
      <c r="C38" s="252">
        <f>Teste!S22</f>
        <v>4</v>
      </c>
      <c r="D38" s="116">
        <f>Teste!N22</f>
        <v>0</v>
      </c>
      <c r="E38" s="116">
        <f>Teste!C22</f>
        <v>0</v>
      </c>
      <c r="F38" s="116">
        <f>Teste!U22</f>
        <v>2</v>
      </c>
      <c r="G38" s="116">
        <f>Teste!Y22</f>
        <v>0</v>
      </c>
      <c r="H38" s="253">
        <f>Teste!R22</f>
        <v>326</v>
      </c>
      <c r="I38" s="248">
        <f>Teste!E22</f>
        <v>1</v>
      </c>
      <c r="J38" s="116">
        <f>Teste!F22</f>
        <v>1</v>
      </c>
      <c r="K38" s="117">
        <f>IF(I38=0,0,J38/I38)</f>
        <v>1</v>
      </c>
      <c r="L38" s="123">
        <f>Teste!AA22</f>
        <v>8.3333333333333329E-2</v>
      </c>
      <c r="M38" s="117">
        <f>Teste!AB22</f>
        <v>9.1864588999999999</v>
      </c>
      <c r="N38" s="117">
        <f>Teste!AF22</f>
        <v>294</v>
      </c>
      <c r="O38" s="123">
        <f>Teste!AD22</f>
        <v>0</v>
      </c>
      <c r="P38" s="219">
        <f>Teste!AE22</f>
        <v>0</v>
      </c>
    </row>
    <row r="39" spans="2:16" s="179" customFormat="1" ht="15.75" thickBot="1" x14ac:dyDescent="0.3">
      <c r="B39" s="269">
        <f>IF($B$2="Tripda Report - Monthly",VLOOKUP(Teste!B23,Teste!$K$65:$L$76,2,0),Teste!B23)</f>
        <v>41972</v>
      </c>
      <c r="C39" s="252">
        <f>Teste!S23</f>
        <v>60</v>
      </c>
      <c r="D39" s="116">
        <f>Teste!N23</f>
        <v>2</v>
      </c>
      <c r="E39" s="116">
        <f>Teste!C23</f>
        <v>2</v>
      </c>
      <c r="F39" s="116">
        <f>Teste!U23</f>
        <v>4</v>
      </c>
      <c r="G39" s="116">
        <f>Teste!Y23</f>
        <v>10</v>
      </c>
      <c r="H39" s="253">
        <f>Teste!R23</f>
        <v>14</v>
      </c>
      <c r="I39" s="248">
        <f>Teste!E23</f>
        <v>4</v>
      </c>
      <c r="J39" s="116">
        <f>Teste!F23</f>
        <v>10</v>
      </c>
      <c r="K39" s="119">
        <f>IF(I39=0,0,J39/I39)</f>
        <v>2.5</v>
      </c>
      <c r="L39" s="123">
        <f>Teste!AA23</f>
        <v>0.8</v>
      </c>
      <c r="M39" s="117">
        <f>Teste!AB23</f>
        <v>1.5102538431599999</v>
      </c>
      <c r="N39" s="117">
        <f>Teste!AF23</f>
        <v>47.2</v>
      </c>
      <c r="O39" s="123">
        <f>Teste!AD23</f>
        <v>0</v>
      </c>
      <c r="P39" s="219">
        <f>Teste!AE23</f>
        <v>0</v>
      </c>
    </row>
    <row r="40" spans="2:16" s="179" customFormat="1" x14ac:dyDescent="0.25">
      <c r="B40" s="272" t="s">
        <v>537</v>
      </c>
      <c r="C40" s="194"/>
      <c r="D40" s="195"/>
      <c r="E40" s="195"/>
      <c r="F40" s="195"/>
      <c r="G40" s="195"/>
      <c r="H40" s="218"/>
      <c r="I40" s="195"/>
      <c r="J40" s="195"/>
      <c r="K40" s="195"/>
      <c r="L40" s="195"/>
      <c r="M40" s="195"/>
      <c r="N40" s="195"/>
      <c r="O40" s="195"/>
      <c r="P40" s="218"/>
    </row>
    <row r="41" spans="2:16" s="179" customFormat="1" x14ac:dyDescent="0.25">
      <c r="B41" s="269">
        <f>IF($B$2="Tripda Report - Monthly",VLOOKUP(Teste!B27,Teste!$K$65:$L$76,2,0),Teste!B27)</f>
        <v>42000</v>
      </c>
      <c r="C41" s="252">
        <f>Teste!S27</f>
        <v>14</v>
      </c>
      <c r="D41" s="116">
        <f>Teste!N27</f>
        <v>2</v>
      </c>
      <c r="E41" s="116">
        <f>Teste!C27</f>
        <v>0</v>
      </c>
      <c r="F41" s="116">
        <f>Teste!U27</f>
        <v>6</v>
      </c>
      <c r="G41" s="116">
        <f>Teste!Y27</f>
        <v>0</v>
      </c>
      <c r="H41" s="253">
        <f>Teste!R27</f>
        <v>75641</v>
      </c>
      <c r="I41" s="248">
        <f>Teste!E27</f>
        <v>2</v>
      </c>
      <c r="J41" s="116">
        <f>Teste!F27</f>
        <v>2</v>
      </c>
      <c r="K41" s="117">
        <f>IF(I41=0,0,J41/I41)</f>
        <v>1</v>
      </c>
      <c r="L41" s="123">
        <f>Teste!AA27</f>
        <v>0.15384615384615385</v>
      </c>
      <c r="M41" s="117">
        <f>Teste!AB27</f>
        <v>0.38787212999999998</v>
      </c>
      <c r="N41" s="117">
        <f>Teste!AF27</f>
        <v>2</v>
      </c>
      <c r="O41" s="123">
        <f>Teste!AD27</f>
        <v>0</v>
      </c>
      <c r="P41" s="219">
        <f>Teste!AE27</f>
        <v>0.33333333333333331</v>
      </c>
    </row>
    <row r="42" spans="2:16" s="179" customFormat="1" x14ac:dyDescent="0.25">
      <c r="B42" s="269">
        <f>IF($B$2="Tripda Report - Monthly",VLOOKUP(Teste!B28,Teste!$K$65:$L$76,2,0),Teste!B28)</f>
        <v>41993</v>
      </c>
      <c r="C42" s="252">
        <f>Teste!S28</f>
        <v>19</v>
      </c>
      <c r="D42" s="116">
        <f>Teste!N28</f>
        <v>2</v>
      </c>
      <c r="E42" s="116">
        <f>Teste!C28</f>
        <v>0</v>
      </c>
      <c r="F42" s="116">
        <f>Teste!U28</f>
        <v>5</v>
      </c>
      <c r="G42" s="116">
        <f>Teste!Y28</f>
        <v>0</v>
      </c>
      <c r="H42" s="253">
        <f>Teste!R28</f>
        <v>855</v>
      </c>
      <c r="I42" s="248">
        <f>Teste!E28</f>
        <v>6</v>
      </c>
      <c r="J42" s="116">
        <f>Teste!F28</f>
        <v>8</v>
      </c>
      <c r="K42" s="117">
        <f>IF(I42=0,0,J42/I42)</f>
        <v>1.3333333333333333</v>
      </c>
      <c r="L42" s="123">
        <f>Teste!AA28</f>
        <v>0.24</v>
      </c>
      <c r="M42" s="117">
        <f>Teste!AB28</f>
        <v>0.90503496999999999</v>
      </c>
      <c r="N42" s="117">
        <f>Teste!AF28</f>
        <v>6.375</v>
      </c>
      <c r="O42" s="123">
        <f>Teste!AD28</f>
        <v>0</v>
      </c>
      <c r="P42" s="219">
        <f>Teste!AE28</f>
        <v>0.1111111111111111</v>
      </c>
    </row>
    <row r="43" spans="2:16" s="179" customFormat="1" ht="15.75" thickBot="1" x14ac:dyDescent="0.3">
      <c r="B43" s="269">
        <f>IF($B$2="Tripda Report - Monthly",VLOOKUP(Teste!B29,Teste!$K$65:$L$76,2,0),Teste!B29)</f>
        <v>41972</v>
      </c>
      <c r="C43" s="252">
        <f>Teste!S29</f>
        <v>20</v>
      </c>
      <c r="D43" s="116">
        <f>Teste!N29</f>
        <v>2</v>
      </c>
      <c r="E43" s="116">
        <f>Teste!C29</f>
        <v>0</v>
      </c>
      <c r="F43" s="116">
        <f>Teste!U29</f>
        <v>4</v>
      </c>
      <c r="G43" s="116">
        <f>Teste!Y29</f>
        <v>0</v>
      </c>
      <c r="H43" s="253">
        <f>Teste!R29</f>
        <v>1912</v>
      </c>
      <c r="I43" s="248">
        <f>Teste!E29</f>
        <v>1</v>
      </c>
      <c r="J43" s="116">
        <f>Teste!F29</f>
        <v>2</v>
      </c>
      <c r="K43" s="119">
        <f>IF(I43=0,0,J43/I43)</f>
        <v>2</v>
      </c>
      <c r="L43" s="123">
        <f>Teste!AA29</f>
        <v>2.7777777777777776E-2</v>
      </c>
      <c r="M43" s="117">
        <f>Teste!AB29</f>
        <v>9.9036683859999997</v>
      </c>
      <c r="N43" s="117">
        <f>Teste!AF29</f>
        <v>252.5</v>
      </c>
      <c r="O43" s="123">
        <f>Teste!AD29</f>
        <v>0.2</v>
      </c>
      <c r="P43" s="219">
        <f>Teste!AE29</f>
        <v>0.4</v>
      </c>
    </row>
    <row r="44" spans="2:16" s="179" customFormat="1" x14ac:dyDescent="0.25">
      <c r="B44" s="272" t="s">
        <v>538</v>
      </c>
      <c r="C44" s="194"/>
      <c r="D44" s="195"/>
      <c r="E44" s="195"/>
      <c r="F44" s="195"/>
      <c r="G44" s="195"/>
      <c r="H44" s="218"/>
      <c r="I44" s="195"/>
      <c r="J44" s="195"/>
      <c r="K44" s="195"/>
      <c r="L44" s="195"/>
      <c r="M44" s="195"/>
      <c r="N44" s="195"/>
      <c r="O44" s="195"/>
      <c r="P44" s="218"/>
    </row>
    <row r="45" spans="2:16" s="179" customFormat="1" x14ac:dyDescent="0.25">
      <c r="B45" s="269">
        <f>IF($B$2="Tripda Report - Monthly",VLOOKUP(Teste!B30,Teste!$K$65:$L$76,2,0),Teste!B30)</f>
        <v>42000</v>
      </c>
      <c r="C45" s="252">
        <f>Teste!S30</f>
        <v>46</v>
      </c>
      <c r="D45" s="116">
        <f>Teste!N30</f>
        <v>6</v>
      </c>
      <c r="E45" s="116">
        <f>Teste!C30</f>
        <v>3</v>
      </c>
      <c r="F45" s="116">
        <f>Teste!U30</f>
        <v>11</v>
      </c>
      <c r="G45" s="116">
        <f>Teste!Y30</f>
        <v>3</v>
      </c>
      <c r="H45" s="253">
        <f>Teste!R30</f>
        <v>3728</v>
      </c>
      <c r="I45" s="248">
        <f>Teste!E30</f>
        <v>2</v>
      </c>
      <c r="J45" s="116">
        <f>Teste!F30</f>
        <v>3</v>
      </c>
      <c r="K45" s="117">
        <f>IF(I45=0,0,J45/I45)</f>
        <v>1.5</v>
      </c>
      <c r="L45" s="123">
        <f>Teste!AA30</f>
        <v>0.15384615384615385</v>
      </c>
      <c r="M45" s="117">
        <f>Teste!AB30</f>
        <v>8.4817549999999997</v>
      </c>
      <c r="N45" s="117">
        <f>Teste!AF30</f>
        <v>84</v>
      </c>
      <c r="O45" s="123">
        <f>Teste!AD30</f>
        <v>0</v>
      </c>
      <c r="P45" s="219">
        <f>Teste!AE30</f>
        <v>0</v>
      </c>
    </row>
    <row r="46" spans="2:16" s="179" customFormat="1" x14ac:dyDescent="0.25">
      <c r="B46" s="269">
        <f>IF($B$2="Tripda Report - Monthly",VLOOKUP(Teste!B31,Teste!$K$65:$L$76,2,0),Teste!B31)</f>
        <v>41993</v>
      </c>
      <c r="C46" s="252">
        <f>Teste!S31</f>
        <v>45</v>
      </c>
      <c r="D46" s="116">
        <f>Teste!N31</f>
        <v>4</v>
      </c>
      <c r="E46" s="116">
        <f>Teste!C31</f>
        <v>0</v>
      </c>
      <c r="F46" s="116">
        <f>Teste!U31</f>
        <v>13</v>
      </c>
      <c r="G46" s="116">
        <f>Teste!Y31</f>
        <v>0</v>
      </c>
      <c r="H46" s="253">
        <f>Teste!R31</f>
        <v>13915</v>
      </c>
      <c r="I46" s="248">
        <f>Teste!E31</f>
        <v>0</v>
      </c>
      <c r="J46" s="116">
        <f>Teste!F31</f>
        <v>0</v>
      </c>
      <c r="K46" s="117">
        <f>IF(I46=0,0,J46/I46)</f>
        <v>0</v>
      </c>
      <c r="L46" s="123">
        <f>Teste!AA31</f>
        <v>0</v>
      </c>
      <c r="M46" s="117">
        <f>Teste!AB31</f>
        <v>0</v>
      </c>
      <c r="N46" s="117">
        <f>Teste!AF31</f>
        <v>0</v>
      </c>
      <c r="O46" s="123">
        <f>Teste!AD31</f>
        <v>0</v>
      </c>
      <c r="P46" s="219">
        <f>Teste!AE31</f>
        <v>0</v>
      </c>
    </row>
    <row r="47" spans="2:16" s="179" customFormat="1" ht="15.75" thickBot="1" x14ac:dyDescent="0.3">
      <c r="B47" s="269">
        <f>IF($B$2="Tripda Report - Monthly",VLOOKUP(Teste!B32,Teste!$K$65:$L$76,2,0),Teste!B32)</f>
        <v>41972</v>
      </c>
      <c r="C47" s="252">
        <f>Teste!S32</f>
        <v>39</v>
      </c>
      <c r="D47" s="116">
        <f>Teste!N32</f>
        <v>3</v>
      </c>
      <c r="E47" s="116">
        <f>Teste!C32</f>
        <v>1</v>
      </c>
      <c r="F47" s="116">
        <f>Teste!U32</f>
        <v>6</v>
      </c>
      <c r="G47" s="116">
        <f>Teste!Y32</f>
        <v>1</v>
      </c>
      <c r="H47" s="253">
        <f>Teste!R32</f>
        <v>8242</v>
      </c>
      <c r="I47" s="248">
        <f>Teste!E32</f>
        <v>3</v>
      </c>
      <c r="J47" s="116">
        <f>Teste!F32</f>
        <v>3</v>
      </c>
      <c r="K47" s="119">
        <f>IF(I47=0,0,J47/I47)</f>
        <v>1</v>
      </c>
      <c r="L47" s="123">
        <f>Teste!AA32</f>
        <v>0.27272727272727271</v>
      </c>
      <c r="M47" s="117">
        <f>Teste!AB32</f>
        <v>164.16299999999998</v>
      </c>
      <c r="N47" s="117">
        <f>Teste!AF32</f>
        <v>1687.3333333333333</v>
      </c>
      <c r="O47" s="123">
        <f>Teste!AD32</f>
        <v>0</v>
      </c>
      <c r="P47" s="219">
        <f>Teste!AE32</f>
        <v>0.4</v>
      </c>
    </row>
    <row r="48" spans="2:16" s="179" customFormat="1" x14ac:dyDescent="0.25">
      <c r="B48" s="272" t="s">
        <v>542</v>
      </c>
      <c r="C48" s="194"/>
      <c r="D48" s="195"/>
      <c r="E48" s="195"/>
      <c r="F48" s="195"/>
      <c r="G48" s="195"/>
      <c r="H48" s="218"/>
      <c r="I48" s="195"/>
      <c r="J48" s="195"/>
      <c r="K48" s="195"/>
      <c r="L48" s="195"/>
      <c r="M48" s="195"/>
      <c r="N48" s="195"/>
      <c r="O48" s="195"/>
      <c r="P48" s="218"/>
    </row>
    <row r="49" spans="2:16" s="179" customFormat="1" x14ac:dyDescent="0.25">
      <c r="B49" s="269">
        <f>IF($B$2="Tripda Report - Monthly",VLOOKUP(Teste!B33,Teste!$K$65:$L$76,2,0),Teste!B33)</f>
        <v>42000</v>
      </c>
      <c r="C49" s="252">
        <f>Teste!S33</f>
        <v>189</v>
      </c>
      <c r="D49" s="116">
        <f>Teste!N33</f>
        <v>8</v>
      </c>
      <c r="E49" s="116">
        <f>Teste!C33</f>
        <v>10</v>
      </c>
      <c r="F49" s="116">
        <f>Teste!U33</f>
        <v>21</v>
      </c>
      <c r="G49" s="116">
        <f>Teste!Y33</f>
        <v>26</v>
      </c>
      <c r="H49" s="253">
        <f>Teste!R33</f>
        <v>10369</v>
      </c>
      <c r="I49" s="248">
        <f>Teste!E33</f>
        <v>27</v>
      </c>
      <c r="J49" s="116">
        <f>Teste!F33</f>
        <v>51</v>
      </c>
      <c r="K49" s="117">
        <f>IF(I49=0,0,J49/I49)</f>
        <v>1.8888888888888888</v>
      </c>
      <c r="L49" s="123">
        <f>Teste!AA33</f>
        <v>0.32142857142857145</v>
      </c>
      <c r="M49" s="117">
        <f>Teste!AB33</f>
        <v>1.1371846680266666</v>
      </c>
      <c r="N49" s="117">
        <f>Teste!AF33</f>
        <v>45.568627450980394</v>
      </c>
      <c r="O49" s="123">
        <f>Teste!AD33</f>
        <v>0</v>
      </c>
      <c r="P49" s="219">
        <f>Teste!AE33</f>
        <v>8.9285714285714288E-2</v>
      </c>
    </row>
    <row r="50" spans="2:16" s="179" customFormat="1" x14ac:dyDescent="0.25">
      <c r="B50" s="269">
        <f>IF($B$2="Tripda Report - Monthly",VLOOKUP(Teste!B34,Teste!$K$65:$L$76,2,0),Teste!B34)</f>
        <v>41993</v>
      </c>
      <c r="C50" s="252">
        <f>Teste!S34</f>
        <v>27</v>
      </c>
      <c r="D50" s="116">
        <f>Teste!N34</f>
        <v>6</v>
      </c>
      <c r="E50" s="116">
        <f>Teste!C34</f>
        <v>6</v>
      </c>
      <c r="F50" s="116">
        <f>Teste!U34</f>
        <v>29</v>
      </c>
      <c r="G50" s="116">
        <f>Teste!Y34</f>
        <v>36</v>
      </c>
      <c r="H50" s="253">
        <f>Teste!R34</f>
        <v>14361</v>
      </c>
      <c r="I50" s="248">
        <f>Teste!E34</f>
        <v>22</v>
      </c>
      <c r="J50" s="116">
        <f>Teste!F34</f>
        <v>38</v>
      </c>
      <c r="K50" s="117">
        <f>IF(I50=0,0,J50/I50)</f>
        <v>1.7272727272727273</v>
      </c>
      <c r="L50" s="123">
        <f>Teste!AA34</f>
        <v>0.23404255319148937</v>
      </c>
      <c r="M50" s="117">
        <f>Teste!AB34</f>
        <v>1.4340681744413792</v>
      </c>
      <c r="N50" s="117">
        <f>Teste!AF34</f>
        <v>50.421052631578945</v>
      </c>
      <c r="O50" s="123">
        <f>Teste!AD34</f>
        <v>0</v>
      </c>
      <c r="P50" s="219">
        <f>Teste!AE34</f>
        <v>0.15555555555555556</v>
      </c>
    </row>
    <row r="51" spans="2:16" s="179" customFormat="1" ht="15.75" thickBot="1" x14ac:dyDescent="0.3">
      <c r="B51" s="270">
        <f>IF($B$2="Tripda Report - Monthly",VLOOKUP(Teste!B35,Teste!$K$65:$L$76,2,0),Teste!B35)</f>
        <v>41972</v>
      </c>
      <c r="C51" s="259">
        <f>Teste!S35</f>
        <v>66</v>
      </c>
      <c r="D51" s="122">
        <f>Teste!N35</f>
        <v>20</v>
      </c>
      <c r="E51" s="122">
        <f>Teste!C35</f>
        <v>3</v>
      </c>
      <c r="F51" s="122">
        <f>Teste!U35</f>
        <v>39</v>
      </c>
      <c r="G51" s="122">
        <f>Teste!Y35</f>
        <v>6</v>
      </c>
      <c r="H51" s="256">
        <f>Teste!R35</f>
        <v>33265</v>
      </c>
      <c r="I51" s="249">
        <f>Teste!E35</f>
        <v>12</v>
      </c>
      <c r="J51" s="122">
        <f>Teste!F35</f>
        <v>18</v>
      </c>
      <c r="K51" s="119">
        <f>IF(I51=0,0,J51/I51)</f>
        <v>1.5</v>
      </c>
      <c r="L51" s="124">
        <f>Teste!AA35</f>
        <v>0.12121212121212122</v>
      </c>
      <c r="M51" s="119">
        <f>Teste!AB35</f>
        <v>1.8245035212384615</v>
      </c>
      <c r="N51" s="119">
        <f>Teste!AF35</f>
        <v>42.944444444444443</v>
      </c>
      <c r="O51" s="124">
        <f>Teste!AD35</f>
        <v>0</v>
      </c>
      <c r="P51" s="220">
        <f>Teste!AE35</f>
        <v>0.18181818181818182</v>
      </c>
    </row>
    <row r="52" spans="2:16" s="179" customFormat="1" x14ac:dyDescent="0.25">
      <c r="B52" s="272" t="s">
        <v>549</v>
      </c>
      <c r="C52" s="194"/>
      <c r="D52" s="195"/>
      <c r="E52" s="195"/>
      <c r="F52" s="195"/>
      <c r="G52" s="195"/>
      <c r="H52" s="218"/>
      <c r="I52" s="195"/>
      <c r="J52" s="195"/>
      <c r="K52" s="195"/>
      <c r="L52" s="195"/>
      <c r="M52" s="195"/>
      <c r="N52" s="195"/>
      <c r="O52" s="195"/>
      <c r="P52" s="218"/>
    </row>
    <row r="53" spans="2:16" s="179" customFormat="1" x14ac:dyDescent="0.25">
      <c r="B53" s="269">
        <f>IF($B$2="Tripda Report - Monthly",VLOOKUP(Teste!B39,Teste!$K$65:$L$76,2,0),Teste!B39)</f>
        <v>42000</v>
      </c>
      <c r="C53" s="252">
        <f>Teste!S39</f>
        <v>40</v>
      </c>
      <c r="D53" s="116">
        <f>Teste!N39</f>
        <v>1</v>
      </c>
      <c r="E53" s="116">
        <f>Teste!C39</f>
        <v>0</v>
      </c>
      <c r="F53" s="116">
        <f>Teste!U39</f>
        <v>1</v>
      </c>
      <c r="G53" s="116">
        <f>Teste!Y39</f>
        <v>0</v>
      </c>
      <c r="H53" s="253">
        <f>Teste!R39</f>
        <v>570</v>
      </c>
      <c r="I53" s="248">
        <f>Teste!E39</f>
        <v>5</v>
      </c>
      <c r="J53" s="116">
        <f>Teste!F39</f>
        <v>7</v>
      </c>
      <c r="K53" s="117">
        <f>IF(I53=0,0,J53/I53)</f>
        <v>1.4</v>
      </c>
      <c r="L53" s="123">
        <f>Teste!AA39</f>
        <v>0.19230769230769232</v>
      </c>
      <c r="M53" s="117">
        <f>Teste!AB39</f>
        <v>5.1983353818000007</v>
      </c>
      <c r="N53" s="117">
        <f>Teste!AF39</f>
        <v>291</v>
      </c>
      <c r="O53" s="123">
        <f>Teste!AD39</f>
        <v>0.125</v>
      </c>
      <c r="P53" s="219">
        <f>Teste!AE39</f>
        <v>0</v>
      </c>
    </row>
    <row r="54" spans="2:16" s="179" customFormat="1" x14ac:dyDescent="0.25">
      <c r="B54" s="269">
        <f>IF($B$2="Tripda Report - Monthly",VLOOKUP(Teste!B40,Teste!$K$65:$L$76,2,0),Teste!B40)</f>
        <v>41993</v>
      </c>
      <c r="C54" s="252">
        <f>Teste!S40</f>
        <v>19</v>
      </c>
      <c r="D54" s="116">
        <f>Teste!N40</f>
        <v>2</v>
      </c>
      <c r="E54" s="116">
        <f>Teste!C40</f>
        <v>1</v>
      </c>
      <c r="F54" s="116">
        <f>Teste!U40</f>
        <v>5</v>
      </c>
      <c r="G54" s="116">
        <f>Teste!Y40</f>
        <v>1</v>
      </c>
      <c r="H54" s="253">
        <f>Teste!R40</f>
        <v>363</v>
      </c>
      <c r="I54" s="248">
        <f>Teste!E40</f>
        <v>1</v>
      </c>
      <c r="J54" s="116">
        <f>Teste!F40</f>
        <v>1</v>
      </c>
      <c r="K54" s="117">
        <f t="shared" ref="K54:K55" si="4">IF(I54=0,0,J54/I54)</f>
        <v>1</v>
      </c>
      <c r="L54" s="123">
        <f>Teste!AA40</f>
        <v>6.25E-2</v>
      </c>
      <c r="M54" s="117">
        <f>Teste!AB40</f>
        <v>0.42368877720000003</v>
      </c>
      <c r="N54" s="117">
        <f>Teste!AF40</f>
        <v>13</v>
      </c>
      <c r="O54" s="123">
        <f>Teste!AD40</f>
        <v>0</v>
      </c>
      <c r="P54" s="219">
        <f>Teste!AE40</f>
        <v>0.66666666666666663</v>
      </c>
    </row>
    <row r="55" spans="2:16" ht="15.75" thickBot="1" x14ac:dyDescent="0.3">
      <c r="B55" s="270">
        <f>IF($B$2="Tripda Report - Monthly",VLOOKUP(Teste!B41,Teste!$K$65:$L$76,2,0),Teste!B41)</f>
        <v>41972</v>
      </c>
      <c r="C55" s="259">
        <f>Teste!S41</f>
        <v>0</v>
      </c>
      <c r="D55" s="122">
        <f>Teste!N41</f>
        <v>0</v>
      </c>
      <c r="E55" s="122">
        <f>Teste!C41</f>
        <v>0</v>
      </c>
      <c r="F55" s="122">
        <f>Teste!U41</f>
        <v>0</v>
      </c>
      <c r="G55" s="122">
        <f>Teste!Y41</f>
        <v>0</v>
      </c>
      <c r="H55" s="256">
        <f>Teste!R41</f>
        <v>0</v>
      </c>
      <c r="I55" s="249">
        <f>Teste!E41</f>
        <v>1</v>
      </c>
      <c r="J55" s="122">
        <f>Teste!F41</f>
        <v>1</v>
      </c>
      <c r="K55" s="119">
        <f t="shared" si="4"/>
        <v>1</v>
      </c>
      <c r="L55" s="124">
        <f>Teste!AA41</f>
        <v>1</v>
      </c>
      <c r="M55" s="119">
        <f>Teste!AB41</f>
        <v>8.1478611000000001</v>
      </c>
      <c r="N55" s="119">
        <f>Teste!AF41</f>
        <v>481</v>
      </c>
      <c r="O55" s="124">
        <f>Teste!AD41</f>
        <v>0.5</v>
      </c>
      <c r="P55" s="220">
        <f>Teste!AE41</f>
        <v>0</v>
      </c>
    </row>
    <row r="56" spans="2:16" ht="30" customHeight="1" x14ac:dyDescent="0.25">
      <c r="B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179"/>
    </row>
    <row r="57" spans="2:16" x14ac:dyDescent="0.25">
      <c r="B57" s="363" t="s">
        <v>489</v>
      </c>
      <c r="C57" s="364"/>
      <c r="D57" s="368" t="s">
        <v>490</v>
      </c>
      <c r="E57" s="369"/>
      <c r="F57" s="369"/>
      <c r="G57" s="370"/>
      <c r="H57" s="260"/>
      <c r="I57" s="260"/>
      <c r="J57" s="179"/>
      <c r="K57" s="179"/>
      <c r="L57" s="179"/>
      <c r="M57" s="179"/>
      <c r="N57" s="179"/>
      <c r="O57" s="179"/>
      <c r="P57" s="179"/>
    </row>
    <row r="58" spans="2:16" x14ac:dyDescent="0.25">
      <c r="B58" s="363" t="s">
        <v>491</v>
      </c>
      <c r="C58" s="364"/>
      <c r="D58" s="368" t="s">
        <v>492</v>
      </c>
      <c r="E58" s="369"/>
      <c r="F58" s="369"/>
      <c r="G58" s="370"/>
      <c r="H58" s="260"/>
      <c r="I58" s="260"/>
      <c r="J58" s="179"/>
      <c r="K58" s="179"/>
      <c r="L58" s="179"/>
      <c r="M58" s="179"/>
      <c r="N58" s="179"/>
      <c r="O58" s="179"/>
      <c r="P58" s="179"/>
    </row>
    <row r="60" spans="2:16" ht="15.75" thickBot="1" x14ac:dyDescent="0.3"/>
    <row r="61" spans="2:16" s="196" customFormat="1" ht="27.75" customHeight="1" x14ac:dyDescent="0.25">
      <c r="B61" s="345" t="s">
        <v>489</v>
      </c>
      <c r="C61" s="346"/>
      <c r="D61" s="372" t="s">
        <v>22</v>
      </c>
      <c r="E61" s="373"/>
      <c r="F61" s="351" t="s">
        <v>506</v>
      </c>
      <c r="G61" s="352"/>
      <c r="H61" s="352"/>
      <c r="I61" s="352"/>
      <c r="J61" s="352"/>
      <c r="K61" s="352"/>
      <c r="L61" s="352"/>
      <c r="M61" s="352"/>
      <c r="N61" s="352"/>
      <c r="O61" s="353"/>
    </row>
    <row r="62" spans="2:16" s="196" customFormat="1" ht="27.75" customHeight="1" x14ac:dyDescent="0.25">
      <c r="B62" s="347"/>
      <c r="C62" s="348"/>
      <c r="D62" s="354" t="s">
        <v>23</v>
      </c>
      <c r="E62" s="355"/>
      <c r="F62" s="342" t="s">
        <v>507</v>
      </c>
      <c r="G62" s="343"/>
      <c r="H62" s="343"/>
      <c r="I62" s="343"/>
      <c r="J62" s="343"/>
      <c r="K62" s="343"/>
      <c r="L62" s="343"/>
      <c r="M62" s="343"/>
      <c r="N62" s="343"/>
      <c r="O62" s="344"/>
    </row>
    <row r="63" spans="2:16" s="196" customFormat="1" ht="27.75" customHeight="1" x14ac:dyDescent="0.25">
      <c r="B63" s="347"/>
      <c r="C63" s="348"/>
      <c r="D63" s="354" t="s">
        <v>488</v>
      </c>
      <c r="E63" s="355"/>
      <c r="F63" s="342" t="s">
        <v>508</v>
      </c>
      <c r="G63" s="343"/>
      <c r="H63" s="343"/>
      <c r="I63" s="343"/>
      <c r="J63" s="343"/>
      <c r="K63" s="343"/>
      <c r="L63" s="343"/>
      <c r="M63" s="343"/>
      <c r="N63" s="343"/>
      <c r="O63" s="344"/>
    </row>
    <row r="64" spans="2:16" s="196" customFormat="1" ht="27.75" customHeight="1" x14ac:dyDescent="0.25">
      <c r="B64" s="347"/>
      <c r="C64" s="348"/>
      <c r="D64" s="334" t="s">
        <v>493</v>
      </c>
      <c r="E64" s="334"/>
      <c r="F64" s="336" t="s">
        <v>494</v>
      </c>
      <c r="G64" s="336"/>
      <c r="H64" s="336"/>
      <c r="I64" s="336"/>
      <c r="J64" s="336"/>
      <c r="K64" s="336"/>
      <c r="L64" s="336"/>
      <c r="M64" s="336"/>
      <c r="N64" s="336"/>
      <c r="O64" s="337"/>
    </row>
    <row r="65" spans="2:15" s="196" customFormat="1" ht="27.75" customHeight="1" x14ac:dyDescent="0.25">
      <c r="B65" s="347"/>
      <c r="C65" s="348"/>
      <c r="D65" s="334" t="s">
        <v>40</v>
      </c>
      <c r="E65" s="334"/>
      <c r="F65" s="336" t="s">
        <v>495</v>
      </c>
      <c r="G65" s="336"/>
      <c r="H65" s="336"/>
      <c r="I65" s="336"/>
      <c r="J65" s="336"/>
      <c r="K65" s="336"/>
      <c r="L65" s="336"/>
      <c r="M65" s="336"/>
      <c r="N65" s="336"/>
      <c r="O65" s="337"/>
    </row>
    <row r="66" spans="2:15" s="196" customFormat="1" ht="27.75" customHeight="1" thickBot="1" x14ac:dyDescent="0.3">
      <c r="B66" s="349"/>
      <c r="C66" s="350"/>
      <c r="D66" s="335" t="s">
        <v>464</v>
      </c>
      <c r="E66" s="335"/>
      <c r="F66" s="338" t="s">
        <v>496</v>
      </c>
      <c r="G66" s="338"/>
      <c r="H66" s="338"/>
      <c r="I66" s="338"/>
      <c r="J66" s="338"/>
      <c r="K66" s="338"/>
      <c r="L66" s="338"/>
      <c r="M66" s="338"/>
      <c r="N66" s="338"/>
      <c r="O66" s="339"/>
    </row>
    <row r="67" spans="2:15" s="196" customFormat="1" ht="27.75" customHeight="1" x14ac:dyDescent="0.25">
      <c r="B67" s="345" t="s">
        <v>491</v>
      </c>
      <c r="C67" s="346"/>
      <c r="D67" s="371" t="s">
        <v>465</v>
      </c>
      <c r="E67" s="371"/>
      <c r="F67" s="340" t="s">
        <v>497</v>
      </c>
      <c r="G67" s="340"/>
      <c r="H67" s="340"/>
      <c r="I67" s="340"/>
      <c r="J67" s="340"/>
      <c r="K67" s="340"/>
      <c r="L67" s="340"/>
      <c r="M67" s="340"/>
      <c r="N67" s="340"/>
      <c r="O67" s="341"/>
    </row>
    <row r="68" spans="2:15" s="196" customFormat="1" ht="27.75" customHeight="1" x14ac:dyDescent="0.25">
      <c r="B68" s="347"/>
      <c r="C68" s="348"/>
      <c r="D68" s="334" t="s">
        <v>472</v>
      </c>
      <c r="E68" s="334"/>
      <c r="F68" s="336" t="s">
        <v>498</v>
      </c>
      <c r="G68" s="336"/>
      <c r="H68" s="336"/>
      <c r="I68" s="336"/>
      <c r="J68" s="336"/>
      <c r="K68" s="336"/>
      <c r="L68" s="336"/>
      <c r="M68" s="336"/>
      <c r="N68" s="336"/>
      <c r="O68" s="337"/>
    </row>
    <row r="69" spans="2:15" s="196" customFormat="1" ht="27.75" customHeight="1" x14ac:dyDescent="0.25">
      <c r="B69" s="347"/>
      <c r="C69" s="348"/>
      <c r="D69" s="334" t="s">
        <v>473</v>
      </c>
      <c r="E69" s="334"/>
      <c r="F69" s="336" t="s">
        <v>499</v>
      </c>
      <c r="G69" s="336"/>
      <c r="H69" s="336"/>
      <c r="I69" s="336"/>
      <c r="J69" s="336"/>
      <c r="K69" s="336"/>
      <c r="L69" s="336"/>
      <c r="M69" s="336"/>
      <c r="N69" s="336"/>
      <c r="O69" s="337"/>
    </row>
    <row r="70" spans="2:15" s="196" customFormat="1" ht="27.75" customHeight="1" x14ac:dyDescent="0.25">
      <c r="B70" s="347"/>
      <c r="C70" s="348"/>
      <c r="D70" s="334" t="s">
        <v>474</v>
      </c>
      <c r="E70" s="334"/>
      <c r="F70" s="336" t="s">
        <v>500</v>
      </c>
      <c r="G70" s="336"/>
      <c r="H70" s="336"/>
      <c r="I70" s="336"/>
      <c r="J70" s="336"/>
      <c r="K70" s="336"/>
      <c r="L70" s="336"/>
      <c r="M70" s="336"/>
      <c r="N70" s="336"/>
      <c r="O70" s="337"/>
    </row>
    <row r="71" spans="2:15" s="196" customFormat="1" ht="27.75" customHeight="1" x14ac:dyDescent="0.25">
      <c r="B71" s="347"/>
      <c r="C71" s="348"/>
      <c r="D71" s="334" t="s">
        <v>501</v>
      </c>
      <c r="E71" s="334"/>
      <c r="F71" s="336" t="s">
        <v>502</v>
      </c>
      <c r="G71" s="336"/>
      <c r="H71" s="336"/>
      <c r="I71" s="336"/>
      <c r="J71" s="336"/>
      <c r="K71" s="336"/>
      <c r="L71" s="336"/>
      <c r="M71" s="336"/>
      <c r="N71" s="336"/>
      <c r="O71" s="337"/>
    </row>
    <row r="72" spans="2:15" s="196" customFormat="1" ht="27.75" customHeight="1" x14ac:dyDescent="0.25">
      <c r="B72" s="347"/>
      <c r="C72" s="348"/>
      <c r="D72" s="334" t="s">
        <v>503</v>
      </c>
      <c r="E72" s="334"/>
      <c r="F72" s="336" t="s">
        <v>504</v>
      </c>
      <c r="G72" s="336"/>
      <c r="H72" s="336"/>
      <c r="I72" s="336"/>
      <c r="J72" s="336"/>
      <c r="K72" s="336"/>
      <c r="L72" s="336"/>
      <c r="M72" s="336"/>
      <c r="N72" s="336"/>
      <c r="O72" s="337"/>
    </row>
    <row r="73" spans="2:15" s="196" customFormat="1" ht="41.25" customHeight="1" x14ac:dyDescent="0.25">
      <c r="B73" s="347"/>
      <c r="C73" s="348"/>
      <c r="D73" s="334" t="s">
        <v>482</v>
      </c>
      <c r="E73" s="334"/>
      <c r="F73" s="336" t="s">
        <v>505</v>
      </c>
      <c r="G73" s="336"/>
      <c r="H73" s="336"/>
      <c r="I73" s="336"/>
      <c r="J73" s="336"/>
      <c r="K73" s="336"/>
      <c r="L73" s="336"/>
      <c r="M73" s="336"/>
      <c r="N73" s="336"/>
      <c r="O73" s="337"/>
    </row>
    <row r="74" spans="2:15" s="196" customFormat="1" ht="27.75" customHeight="1" thickBot="1" x14ac:dyDescent="0.3">
      <c r="B74" s="349"/>
      <c r="C74" s="350"/>
      <c r="D74" s="335" t="s">
        <v>476</v>
      </c>
      <c r="E74" s="335"/>
      <c r="F74" s="338" t="s">
        <v>477</v>
      </c>
      <c r="G74" s="338"/>
      <c r="H74" s="338"/>
      <c r="I74" s="338"/>
      <c r="J74" s="338"/>
      <c r="K74" s="338"/>
      <c r="L74" s="338"/>
      <c r="M74" s="338"/>
      <c r="N74" s="338"/>
      <c r="O74" s="339"/>
    </row>
    <row r="75" spans="2:15" s="196" customFormat="1" ht="25.5" customHeight="1" thickBot="1" x14ac:dyDescent="0.3"/>
    <row r="76" spans="2:15" ht="39.75" customHeight="1" thickBot="1" x14ac:dyDescent="0.3">
      <c r="B76" s="358" t="s">
        <v>567</v>
      </c>
      <c r="C76" s="359"/>
      <c r="D76" s="359"/>
      <c r="E76" s="359"/>
      <c r="F76" s="360"/>
      <c r="G76" s="360"/>
      <c r="H76" s="360"/>
      <c r="I76" s="360"/>
      <c r="J76" s="360"/>
      <c r="K76" s="360"/>
      <c r="L76" s="360"/>
      <c r="M76" s="360"/>
      <c r="N76" s="360"/>
      <c r="O76" s="360"/>
    </row>
    <row r="77" spans="2:15" s="179" customFormat="1" ht="29.25" customHeight="1" x14ac:dyDescent="0.25">
      <c r="B77" s="284"/>
      <c r="C77" s="284"/>
      <c r="D77" s="284"/>
      <c r="E77" s="284"/>
      <c r="F77" s="284"/>
      <c r="G77" s="284"/>
      <c r="H77" s="284"/>
      <c r="I77" s="284"/>
      <c r="J77" s="284"/>
      <c r="K77" s="284"/>
      <c r="L77" s="284"/>
      <c r="M77" s="284"/>
      <c r="N77" s="284"/>
      <c r="O77" s="284"/>
    </row>
    <row r="78" spans="2:15" ht="17.25" customHeight="1" thickBot="1" x14ac:dyDescent="0.3"/>
    <row r="79" spans="2:15" ht="18" thickBot="1" x14ac:dyDescent="0.35">
      <c r="D79" s="285" t="s">
        <v>568</v>
      </c>
      <c r="E79" s="378" t="s">
        <v>569</v>
      </c>
      <c r="F79" s="379"/>
      <c r="G79" s="379"/>
      <c r="H79" s="379" t="s">
        <v>570</v>
      </c>
      <c r="I79" s="379"/>
      <c r="J79" s="399" t="str">
        <f>IF(B2="Tripda Report - Daily","Rank on " &amp;  TEXT(B10,"dd/mm"))</f>
        <v>Rank on 20/12</v>
      </c>
      <c r="K79" s="379"/>
      <c r="L79" s="379" t="str">
        <f>IF(B2="Tripda Report - Daily","Rank on " &amp;  TEXT(B11,"dd/mm"))</f>
        <v>Rank on 29/11</v>
      </c>
      <c r="M79" s="393"/>
    </row>
    <row r="80" spans="2:15" ht="17.25" x14ac:dyDescent="0.3">
      <c r="D80" s="288" t="s">
        <v>550</v>
      </c>
      <c r="E80" s="387" t="str">
        <f>VLOOKUP(H80,Teste!$P$47:$U$57,6,0)</f>
        <v>Malaysia + Singapore</v>
      </c>
      <c r="F80" s="388"/>
      <c r="G80" s="388"/>
      <c r="H80" s="380">
        <f>VLOOKUP(1,Teste!$O$47:$P$57,2,0)</f>
        <v>58.06</v>
      </c>
      <c r="I80" s="380"/>
      <c r="J80" s="394">
        <f>VLOOKUP(E80,Teste!$N$47:$Q$57,4,0)</f>
        <v>3</v>
      </c>
      <c r="K80" s="394"/>
      <c r="L80" s="394">
        <f>VLOOKUP(E80,Teste!$N$47:$S$57,6,0)</f>
        <v>7</v>
      </c>
      <c r="M80" s="395"/>
    </row>
    <row r="81" spans="4:15" ht="17.25" x14ac:dyDescent="0.3">
      <c r="D81" s="290" t="s">
        <v>551</v>
      </c>
      <c r="E81" s="389" t="str">
        <f>VLOOKUP(H81,Teste!$P$47:$U$57,6,0)</f>
        <v>India</v>
      </c>
      <c r="F81" s="390"/>
      <c r="G81" s="390"/>
      <c r="H81" s="383">
        <f>VLOOKUP(2,Teste!$O$47:$P$57,2,0)</f>
        <v>51.07</v>
      </c>
      <c r="I81" s="383"/>
      <c r="J81" s="356">
        <f>VLOOKUP(E81,Teste!$N$47:$Q$57,4,0)</f>
        <v>5</v>
      </c>
      <c r="K81" s="356"/>
      <c r="L81" s="356">
        <f>VLOOKUP(E81,Teste!$N$47:$S$57,6,0)</f>
        <v>3</v>
      </c>
      <c r="M81" s="357"/>
      <c r="O81" s="179"/>
    </row>
    <row r="82" spans="4:15" ht="17.25" x14ac:dyDescent="0.3">
      <c r="D82" s="289" t="s">
        <v>552</v>
      </c>
      <c r="E82" s="391" t="str">
        <f>VLOOKUP(H82,Teste!$P$47:$U$57,6,0)</f>
        <v>Brazil</v>
      </c>
      <c r="F82" s="392"/>
      <c r="G82" s="392"/>
      <c r="H82" s="384">
        <f>VLOOKUP(3,Teste!$O$47:$P$57,2,0)</f>
        <v>19.100000000000001</v>
      </c>
      <c r="I82" s="384"/>
      <c r="J82" s="356">
        <f>VLOOKUP(E82,Teste!$N$47:$Q$57,4,0)</f>
        <v>1</v>
      </c>
      <c r="K82" s="356"/>
      <c r="L82" s="356">
        <f>VLOOKUP(E82,Teste!$N$47:$S$57,6,0)</f>
        <v>1</v>
      </c>
      <c r="M82" s="357"/>
      <c r="O82" s="287"/>
    </row>
    <row r="83" spans="4:15" ht="17.25" x14ac:dyDescent="0.3">
      <c r="D83" s="286" t="s">
        <v>553</v>
      </c>
      <c r="E83" s="385" t="str">
        <f>VLOOKUP(H83,Teste!$P$47:$U$57,6,0)</f>
        <v>Colombia</v>
      </c>
      <c r="F83" s="386"/>
      <c r="G83" s="386"/>
      <c r="H83" s="381">
        <f>VLOOKUP(4,Teste!$O$47:$P$57,2,0)</f>
        <v>19.079999999999998</v>
      </c>
      <c r="I83" s="381"/>
      <c r="J83" s="356">
        <f>VLOOKUP(E83,Teste!$N$47:$Q$57,4,0)</f>
        <v>4</v>
      </c>
      <c r="K83" s="356"/>
      <c r="L83" s="356">
        <f>VLOOKUP(E83,Teste!$N$47:$S$57,6,0)</f>
        <v>2</v>
      </c>
      <c r="M83" s="357"/>
    </row>
    <row r="84" spans="4:15" ht="17.25" x14ac:dyDescent="0.3">
      <c r="D84" s="286" t="s">
        <v>554</v>
      </c>
      <c r="E84" s="385" t="str">
        <f>VLOOKUP(H84,Teste!$P$47:$U$57,6,0)</f>
        <v>Chile</v>
      </c>
      <c r="F84" s="386"/>
      <c r="G84" s="386"/>
      <c r="H84" s="381">
        <f>VLOOKUP(5,Teste!$O$47:$P$57,2,0)</f>
        <v>18.09</v>
      </c>
      <c r="I84" s="381"/>
      <c r="J84" s="356">
        <f>VLOOKUP(E84,Teste!$N$47:$Q$57,4,0)</f>
        <v>2</v>
      </c>
      <c r="K84" s="356"/>
      <c r="L84" s="356">
        <f>VLOOKUP(E84,Teste!$N$47:$S$57,6,0)</f>
        <v>4</v>
      </c>
      <c r="M84" s="357"/>
    </row>
    <row r="85" spans="4:15" ht="17.25" x14ac:dyDescent="0.3">
      <c r="D85" s="286" t="s">
        <v>555</v>
      </c>
      <c r="E85" s="385" t="str">
        <f>VLOOKUP(H85,Teste!$P$47:$U$57,6,0)</f>
        <v>Pakistan</v>
      </c>
      <c r="F85" s="386"/>
      <c r="G85" s="386"/>
      <c r="H85" s="381">
        <f>VLOOKUP(6,Teste!$O$47:$P$57,2,0)</f>
        <v>7.04</v>
      </c>
      <c r="I85" s="381"/>
      <c r="J85" s="356">
        <f>VLOOKUP(E85,Teste!$N$47:$Q$57,4,0)</f>
        <v>9</v>
      </c>
      <c r="K85" s="356"/>
      <c r="L85" s="356">
        <f>VLOOKUP(E85,Teste!$N$47:$S$57,6,0)</f>
        <v>11</v>
      </c>
      <c r="M85" s="357"/>
    </row>
    <row r="86" spans="4:15" ht="17.25" x14ac:dyDescent="0.3">
      <c r="D86" s="286" t="s">
        <v>556</v>
      </c>
      <c r="E86" s="385" t="str">
        <f>VLOOKUP(H86,Teste!$P$47:$U$57,6,0)</f>
        <v>Mexico</v>
      </c>
      <c r="F86" s="386"/>
      <c r="G86" s="386"/>
      <c r="H86" s="381">
        <f>VLOOKUP(7,Teste!$O$47:$P$57,2,0)</f>
        <v>5.05</v>
      </c>
      <c r="I86" s="381"/>
      <c r="J86" s="356">
        <f>VLOOKUP(E86,Teste!$N$47:$Q$57,4,0)</f>
        <v>6</v>
      </c>
      <c r="K86" s="356"/>
      <c r="L86" s="356">
        <f>VLOOKUP(E86,Teste!$N$47:$S$57,6,0)</f>
        <v>5</v>
      </c>
      <c r="M86" s="357"/>
    </row>
    <row r="87" spans="4:15" ht="17.25" x14ac:dyDescent="0.3">
      <c r="D87" s="286" t="s">
        <v>557</v>
      </c>
      <c r="E87" s="385" t="str">
        <f>VLOOKUP(H87,Teste!$P$47:$U$57,6,0)</f>
        <v>Argentina + Uruguay</v>
      </c>
      <c r="F87" s="386"/>
      <c r="G87" s="386"/>
      <c r="H87" s="381">
        <f>VLOOKUP(8,Teste!$O$47:$P$57,2,0)</f>
        <v>3.11</v>
      </c>
      <c r="I87" s="381"/>
      <c r="J87" s="356">
        <f>VLOOKUP(E87,Teste!$N$47:$Q$57,4,0)</f>
        <v>8</v>
      </c>
      <c r="K87" s="356"/>
      <c r="L87" s="356">
        <f>VLOOKUP(E87,Teste!$N$47:$S$57,6,0)</f>
        <v>8</v>
      </c>
      <c r="M87" s="357"/>
    </row>
    <row r="88" spans="4:15" ht="17.25" x14ac:dyDescent="0.3">
      <c r="D88" s="291" t="s">
        <v>558</v>
      </c>
      <c r="E88" s="374" t="str">
        <f>VLOOKUP(H88,Teste!$P$47:$U$57,6,0)</f>
        <v>United States</v>
      </c>
      <c r="F88" s="375"/>
      <c r="G88" s="375"/>
      <c r="H88" s="382">
        <f>VLOOKUP(9,Teste!$O$47:$P$57,2,0)</f>
        <v>3.01</v>
      </c>
      <c r="I88" s="382"/>
      <c r="J88" s="356">
        <f>VLOOKUP(E88,Teste!$N$47:$Q$57,4,0)</f>
        <v>11</v>
      </c>
      <c r="K88" s="356"/>
      <c r="L88" s="356">
        <f>VLOOKUP(E88,Teste!$N$47:$S$57,6,0)</f>
        <v>8</v>
      </c>
      <c r="M88" s="357"/>
    </row>
    <row r="89" spans="4:15" ht="17.25" x14ac:dyDescent="0.3">
      <c r="D89" s="291" t="s">
        <v>559</v>
      </c>
      <c r="E89" s="374" t="str">
        <f>VLOOKUP(H89,Teste!$P$47:$U$57,6,0)</f>
        <v>Taiwan</v>
      </c>
      <c r="F89" s="375"/>
      <c r="G89" s="375"/>
      <c r="H89" s="382">
        <f>VLOOKUP(10,Teste!$O$47:$P$57,2,0)</f>
        <v>2.02</v>
      </c>
      <c r="I89" s="382"/>
      <c r="J89" s="356">
        <f>VLOOKUP(E89,Teste!$N$47:$Q$57,4,0)</f>
        <v>7</v>
      </c>
      <c r="K89" s="356"/>
      <c r="L89" s="356">
        <f>VLOOKUP(E89,Teste!$N$47:$S$57,6,0)</f>
        <v>10</v>
      </c>
      <c r="M89" s="357"/>
    </row>
    <row r="90" spans="4:15" ht="18" thickBot="1" x14ac:dyDescent="0.35">
      <c r="D90" s="292" t="s">
        <v>560</v>
      </c>
      <c r="E90" s="376" t="str">
        <f>VLOOKUP(H90,Teste!$P$47:$U$57,6,0)</f>
        <v>Philippines</v>
      </c>
      <c r="F90" s="377"/>
      <c r="G90" s="377"/>
      <c r="H90" s="398">
        <f>VLOOKUP(11,Teste!$O$47:$P$57,2,0)</f>
        <v>0.03</v>
      </c>
      <c r="I90" s="398"/>
      <c r="J90" s="396">
        <f>VLOOKUP(E90,Teste!$N$47:$Q$57,4,0)</f>
        <v>9</v>
      </c>
      <c r="K90" s="396"/>
      <c r="L90" s="396">
        <f>VLOOKUP(E90,Teste!$N$47:$S$57,6,0)</f>
        <v>5</v>
      </c>
      <c r="M90" s="397"/>
    </row>
  </sheetData>
  <sortState ref="E83:G85">
    <sortCondition descending="1" ref="G82:G84"/>
  </sortState>
  <mergeCells count="86">
    <mergeCell ref="L90:M90"/>
    <mergeCell ref="H89:I89"/>
    <mergeCell ref="H90:I90"/>
    <mergeCell ref="J79:K79"/>
    <mergeCell ref="J80:K80"/>
    <mergeCell ref="J81:K81"/>
    <mergeCell ref="J82:K82"/>
    <mergeCell ref="J83:K83"/>
    <mergeCell ref="J84:K84"/>
    <mergeCell ref="J85:K85"/>
    <mergeCell ref="J86:K86"/>
    <mergeCell ref="J87:K87"/>
    <mergeCell ref="J88:K88"/>
    <mergeCell ref="J89:K89"/>
    <mergeCell ref="J90:K90"/>
    <mergeCell ref="L84:M84"/>
    <mergeCell ref="E87:G87"/>
    <mergeCell ref="E88:G88"/>
    <mergeCell ref="B76:O76"/>
    <mergeCell ref="E80:G80"/>
    <mergeCell ref="E81:G81"/>
    <mergeCell ref="E82:G82"/>
    <mergeCell ref="E83:G83"/>
    <mergeCell ref="L79:M79"/>
    <mergeCell ref="L80:M80"/>
    <mergeCell ref="L81:M81"/>
    <mergeCell ref="L82:M82"/>
    <mergeCell ref="L83:M83"/>
    <mergeCell ref="L85:M85"/>
    <mergeCell ref="L86:M86"/>
    <mergeCell ref="L87:M87"/>
    <mergeCell ref="L88:M88"/>
    <mergeCell ref="E89:G89"/>
    <mergeCell ref="E90:G90"/>
    <mergeCell ref="E79:G79"/>
    <mergeCell ref="H79:I79"/>
    <mergeCell ref="H80:I80"/>
    <mergeCell ref="H84:I84"/>
    <mergeCell ref="H85:I85"/>
    <mergeCell ref="H86:I86"/>
    <mergeCell ref="H87:I87"/>
    <mergeCell ref="H88:I88"/>
    <mergeCell ref="H81:I81"/>
    <mergeCell ref="H82:I82"/>
    <mergeCell ref="H83:I83"/>
    <mergeCell ref="E84:G84"/>
    <mergeCell ref="E85:G85"/>
    <mergeCell ref="E86:G86"/>
    <mergeCell ref="L89:M89"/>
    <mergeCell ref="B2:P2"/>
    <mergeCell ref="I6:P6"/>
    <mergeCell ref="B57:C57"/>
    <mergeCell ref="C6:H6"/>
    <mergeCell ref="D57:G57"/>
    <mergeCell ref="B58:C58"/>
    <mergeCell ref="D67:E67"/>
    <mergeCell ref="D68:E68"/>
    <mergeCell ref="D69:E69"/>
    <mergeCell ref="D70:E70"/>
    <mergeCell ref="D61:E61"/>
    <mergeCell ref="D58:G58"/>
    <mergeCell ref="B67:C74"/>
    <mergeCell ref="D64:E64"/>
    <mergeCell ref="D65:E65"/>
    <mergeCell ref="F62:O62"/>
    <mergeCell ref="F63:O63"/>
    <mergeCell ref="B61:C66"/>
    <mergeCell ref="D71:E71"/>
    <mergeCell ref="F61:O61"/>
    <mergeCell ref="D62:E62"/>
    <mergeCell ref="D63:E63"/>
    <mergeCell ref="D72:E72"/>
    <mergeCell ref="D73:E73"/>
    <mergeCell ref="D74:E74"/>
    <mergeCell ref="F64:O64"/>
    <mergeCell ref="F65:O65"/>
    <mergeCell ref="F66:O66"/>
    <mergeCell ref="F67:O67"/>
    <mergeCell ref="F68:O68"/>
    <mergeCell ref="F69:O69"/>
    <mergeCell ref="F70:O70"/>
    <mergeCell ref="F71:O71"/>
    <mergeCell ref="F72:O72"/>
    <mergeCell ref="F73:O73"/>
    <mergeCell ref="F74:O74"/>
    <mergeCell ref="D66:E66"/>
  </mergeCells>
  <conditionalFormatting sqref="J80:M90">
    <cfRule type="cellIs" dxfId="3" priority="1" operator="greaterThan">
      <formula>8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6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1:S75"/>
  <sheetViews>
    <sheetView showGridLines="0" tabSelected="1" topLeftCell="A46" zoomScale="70" zoomScaleNormal="70" workbookViewId="0">
      <selection activeCell="R62" sqref="R62"/>
    </sheetView>
  </sheetViews>
  <sheetFormatPr defaultRowHeight="15" x14ac:dyDescent="0.25"/>
  <cols>
    <col min="1" max="1" width="5.7109375" style="179" customWidth="1"/>
    <col min="2" max="2" width="20" style="179" customWidth="1"/>
    <col min="3" max="3" width="10.28515625" style="179" customWidth="1"/>
    <col min="4" max="4" width="11.85546875" style="179" customWidth="1"/>
    <col min="5" max="5" width="13.42578125" style="179" customWidth="1"/>
    <col min="6" max="6" width="13.5703125" style="179" customWidth="1"/>
    <col min="7" max="7" width="12.140625" style="179" customWidth="1"/>
    <col min="8" max="8" width="15.7109375" style="179" customWidth="1"/>
    <col min="9" max="9" width="11.5703125" style="179" customWidth="1"/>
    <col min="10" max="10" width="13.28515625" style="179" customWidth="1"/>
    <col min="11" max="11" width="16.7109375" style="179" customWidth="1"/>
    <col min="12" max="13" width="12.7109375" style="179" customWidth="1"/>
    <col min="14" max="14" width="14.85546875" style="179" customWidth="1"/>
    <col min="15" max="15" width="14.42578125" style="179" customWidth="1"/>
    <col min="16" max="16" width="14.85546875" style="179" customWidth="1"/>
    <col min="17" max="16384" width="9.140625" style="179"/>
  </cols>
  <sheetData>
    <row r="1" spans="2:19" ht="15.75" thickBot="1" x14ac:dyDescent="0.3"/>
    <row r="2" spans="2:19" s="1" customFormat="1" ht="40.5" customHeight="1" thickBot="1" x14ac:dyDescent="0.3">
      <c r="B2" s="358" t="s">
        <v>547</v>
      </c>
      <c r="C2" s="359"/>
      <c r="D2" s="359"/>
      <c r="E2" s="359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</row>
    <row r="3" spans="2:19" ht="15.75" thickBot="1" x14ac:dyDescent="0.3"/>
    <row r="4" spans="2:19" ht="15.75" thickBot="1" x14ac:dyDescent="0.3">
      <c r="B4" s="198" t="s">
        <v>481</v>
      </c>
      <c r="C4" s="199">
        <f ca="1">TODAY()</f>
        <v>42001</v>
      </c>
      <c r="D4" s="197"/>
      <c r="E4" s="197"/>
      <c r="J4" s="27"/>
      <c r="K4" s="27"/>
      <c r="L4" s="27"/>
      <c r="M4" s="27"/>
      <c r="N4" s="27"/>
    </row>
    <row r="5" spans="2:19" ht="15.75" thickBot="1" x14ac:dyDescent="0.3">
      <c r="B5" s="120"/>
      <c r="C5" s="120"/>
      <c r="D5" s="120"/>
      <c r="E5" s="120"/>
      <c r="G5" s="27"/>
      <c r="H5" s="27"/>
      <c r="I5" s="27"/>
      <c r="J5" s="27"/>
      <c r="K5" s="27"/>
      <c r="L5" s="27"/>
      <c r="M5" s="27"/>
      <c r="N5" s="27"/>
    </row>
    <row r="6" spans="2:19" ht="24" thickBot="1" x14ac:dyDescent="0.4">
      <c r="B6" s="121"/>
      <c r="C6" s="365" t="s">
        <v>534</v>
      </c>
      <c r="D6" s="366"/>
      <c r="E6" s="366"/>
      <c r="F6" s="366"/>
      <c r="G6" s="366"/>
      <c r="H6" s="367"/>
      <c r="I6" s="361" t="s">
        <v>466</v>
      </c>
      <c r="J6" s="361"/>
      <c r="K6" s="361"/>
      <c r="L6" s="361"/>
      <c r="M6" s="361"/>
      <c r="N6" s="361"/>
      <c r="O6" s="361"/>
      <c r="P6" s="362"/>
    </row>
    <row r="7" spans="2:19" ht="60" customHeight="1" thickBot="1" x14ac:dyDescent="0.3">
      <c r="B7" s="267"/>
      <c r="C7" s="203" t="s">
        <v>480</v>
      </c>
      <c r="D7" s="202" t="s">
        <v>23</v>
      </c>
      <c r="E7" s="255" t="s">
        <v>488</v>
      </c>
      <c r="F7" s="201" t="s">
        <v>462</v>
      </c>
      <c r="G7" s="201" t="s">
        <v>463</v>
      </c>
      <c r="H7" s="204" t="s">
        <v>464</v>
      </c>
      <c r="I7" s="202" t="s">
        <v>465</v>
      </c>
      <c r="J7" s="201" t="s">
        <v>472</v>
      </c>
      <c r="K7" s="201" t="s">
        <v>473</v>
      </c>
      <c r="L7" s="201" t="s">
        <v>474</v>
      </c>
      <c r="M7" s="201" t="s">
        <v>475</v>
      </c>
      <c r="N7" s="201" t="s">
        <v>483</v>
      </c>
      <c r="O7" s="201" t="s">
        <v>482</v>
      </c>
      <c r="P7" s="204" t="s">
        <v>476</v>
      </c>
    </row>
    <row r="8" spans="2:19" x14ac:dyDescent="0.25">
      <c r="B8" s="268" t="s">
        <v>65</v>
      </c>
      <c r="C8" s="192"/>
      <c r="D8" s="193"/>
      <c r="E8" s="193"/>
      <c r="F8" s="193"/>
      <c r="G8" s="193"/>
      <c r="H8" s="221"/>
      <c r="I8" s="193"/>
      <c r="J8" s="193"/>
      <c r="K8" s="193"/>
      <c r="L8" s="193"/>
      <c r="M8" s="193"/>
      <c r="N8" s="193"/>
      <c r="O8" s="193"/>
      <c r="P8" s="221"/>
      <c r="S8" s="258"/>
    </row>
    <row r="9" spans="2:19" x14ac:dyDescent="0.25">
      <c r="B9" s="269">
        <f>B13</f>
        <v>42000</v>
      </c>
      <c r="C9" s="254">
        <f t="shared" ref="C9:J11" si="0">C13+C17+C21+C25+C29+C33+C37+C41+C45+C49+C53</f>
        <v>524</v>
      </c>
      <c r="D9" s="118">
        <f t="shared" si="0"/>
        <v>46</v>
      </c>
      <c r="E9" s="118">
        <f t="shared" si="0"/>
        <v>59</v>
      </c>
      <c r="F9" s="118">
        <f t="shared" si="0"/>
        <v>144</v>
      </c>
      <c r="G9" s="118">
        <f t="shared" si="0"/>
        <v>119</v>
      </c>
      <c r="H9" s="253">
        <f t="shared" si="0"/>
        <v>168200</v>
      </c>
      <c r="I9" s="251">
        <f t="shared" si="0"/>
        <v>74</v>
      </c>
      <c r="J9" s="118">
        <f t="shared" si="0"/>
        <v>185</v>
      </c>
      <c r="K9" s="117">
        <f>IF(I9=0,0,J9/I9)</f>
        <v>2.5</v>
      </c>
      <c r="L9" s="123">
        <f>Teste!AA42</f>
        <v>0.26148409893992935</v>
      </c>
      <c r="M9" s="117">
        <f>Teste!AB42</f>
        <v>4.0294662311955136</v>
      </c>
      <c r="N9" s="117">
        <f>Teste!AF42</f>
        <v>106.60109289617486</v>
      </c>
      <c r="O9" s="123">
        <f>Teste!AD42</f>
        <v>4.9327354260089683E-2</v>
      </c>
      <c r="P9" s="219">
        <f>Teste!AE42</f>
        <v>0.1210762331838565</v>
      </c>
    </row>
    <row r="10" spans="2:19" x14ac:dyDescent="0.25">
      <c r="B10" s="269">
        <f>B14</f>
        <v>41993</v>
      </c>
      <c r="C10" s="254">
        <f t="shared" si="0"/>
        <v>336</v>
      </c>
      <c r="D10" s="118">
        <f t="shared" si="0"/>
        <v>56</v>
      </c>
      <c r="E10" s="118">
        <f t="shared" si="0"/>
        <v>73</v>
      </c>
      <c r="F10" s="118">
        <f t="shared" si="0"/>
        <v>191</v>
      </c>
      <c r="G10" s="118">
        <f t="shared" si="0"/>
        <v>200</v>
      </c>
      <c r="H10" s="253">
        <f t="shared" si="0"/>
        <v>96758</v>
      </c>
      <c r="I10" s="251">
        <f t="shared" si="0"/>
        <v>155</v>
      </c>
      <c r="J10" s="118">
        <f t="shared" si="0"/>
        <v>424</v>
      </c>
      <c r="K10" s="117">
        <f t="shared" ref="K10:K11" si="1">IF(I10=0,0,J10/I10)</f>
        <v>2.7354838709677418</v>
      </c>
      <c r="L10" s="123">
        <f>Teste!AA43</f>
        <v>0.35067873303167418</v>
      </c>
      <c r="M10" s="117">
        <f>Teste!AB43</f>
        <v>5.782436410181214</v>
      </c>
      <c r="N10" s="117">
        <f>Teste!AF43</f>
        <v>153.27358490566039</v>
      </c>
      <c r="O10" s="123">
        <f>Teste!AD43</f>
        <v>8.0074487895716945E-2</v>
      </c>
      <c r="P10" s="219">
        <f>Teste!AE43</f>
        <v>0.1266294227188082</v>
      </c>
    </row>
    <row r="11" spans="2:19" ht="15.75" thickBot="1" x14ac:dyDescent="0.3">
      <c r="B11" s="270">
        <f>B15</f>
        <v>41972</v>
      </c>
      <c r="C11" s="254">
        <f t="shared" si="0"/>
        <v>356</v>
      </c>
      <c r="D11" s="118">
        <f t="shared" si="0"/>
        <v>56</v>
      </c>
      <c r="E11" s="118">
        <f t="shared" si="0"/>
        <v>34</v>
      </c>
      <c r="F11" s="118">
        <f t="shared" si="0"/>
        <v>136</v>
      </c>
      <c r="G11" s="118">
        <f t="shared" si="0"/>
        <v>74</v>
      </c>
      <c r="H11" s="253">
        <f t="shared" si="0"/>
        <v>88114</v>
      </c>
      <c r="I11" s="251">
        <f t="shared" si="0"/>
        <v>60</v>
      </c>
      <c r="J11" s="118">
        <f t="shared" si="0"/>
        <v>113</v>
      </c>
      <c r="K11" s="119">
        <f t="shared" si="1"/>
        <v>1.8833333333333333</v>
      </c>
      <c r="L11" s="124">
        <f>Teste!AA44</f>
        <v>0.19169329073482427</v>
      </c>
      <c r="M11" s="119">
        <f>Teste!AB44</f>
        <v>9.9572679227352268</v>
      </c>
      <c r="N11" s="119">
        <f>Teste!AF44</f>
        <v>156.22123893805309</v>
      </c>
      <c r="O11" s="124">
        <f>Teste!AD44</f>
        <v>5.7553956834532377E-2</v>
      </c>
      <c r="P11" s="220">
        <f>Teste!AE44</f>
        <v>0.12949640287769784</v>
      </c>
    </row>
    <row r="12" spans="2:19" x14ac:dyDescent="0.25">
      <c r="B12" s="271" t="s">
        <v>536</v>
      </c>
      <c r="C12" s="194"/>
      <c r="D12" s="195"/>
      <c r="E12" s="195"/>
      <c r="F12" s="195"/>
      <c r="G12" s="195"/>
      <c r="H12" s="218"/>
      <c r="I12" s="195"/>
      <c r="J12" s="195"/>
      <c r="K12" s="195"/>
      <c r="L12" s="195"/>
      <c r="M12" s="195"/>
      <c r="N12" s="195"/>
      <c r="O12" s="195"/>
      <c r="P12" s="218"/>
    </row>
    <row r="13" spans="2:19" x14ac:dyDescent="0.25">
      <c r="B13" s="269">
        <v>42000</v>
      </c>
      <c r="C13" s="252">
        <v>26</v>
      </c>
      <c r="D13" s="116">
        <v>3</v>
      </c>
      <c r="E13" s="116">
        <v>21</v>
      </c>
      <c r="F13" s="154">
        <v>16</v>
      </c>
      <c r="G13" s="154">
        <v>36</v>
      </c>
      <c r="H13" s="253">
        <v>2286</v>
      </c>
      <c r="I13" s="248">
        <v>17</v>
      </c>
      <c r="J13" s="116">
        <v>58</v>
      </c>
      <c r="K13" s="117">
        <v>3.4117647058823528</v>
      </c>
      <c r="L13" s="123">
        <v>0.54838709677419351</v>
      </c>
      <c r="M13" s="117">
        <v>1.9551519202272727</v>
      </c>
      <c r="N13" s="170">
        <v>37.482758620689658</v>
      </c>
      <c r="O13" s="171">
        <v>2.9850746268656716E-2</v>
      </c>
      <c r="P13" s="219">
        <v>0.1044776119402985</v>
      </c>
    </row>
    <row r="14" spans="2:19" x14ac:dyDescent="0.25">
      <c r="B14" s="269">
        <v>41993</v>
      </c>
      <c r="C14" s="252">
        <v>43</v>
      </c>
      <c r="D14" s="116">
        <v>8</v>
      </c>
      <c r="E14" s="116">
        <v>15</v>
      </c>
      <c r="F14" s="154">
        <v>25</v>
      </c>
      <c r="G14" s="154">
        <v>29</v>
      </c>
      <c r="H14" s="253">
        <v>4127</v>
      </c>
      <c r="I14" s="248">
        <v>22</v>
      </c>
      <c r="J14" s="200">
        <v>69</v>
      </c>
      <c r="K14" s="117">
        <v>3.1363636363636362</v>
      </c>
      <c r="L14" s="123">
        <v>0.5641025641025641</v>
      </c>
      <c r="M14" s="117">
        <v>2.1377319018612901</v>
      </c>
      <c r="N14" s="170">
        <v>34.869565217391305</v>
      </c>
      <c r="O14" s="171">
        <v>0</v>
      </c>
      <c r="P14" s="219">
        <v>0.14814814814814814</v>
      </c>
    </row>
    <row r="15" spans="2:19" ht="15.75" thickBot="1" x14ac:dyDescent="0.3">
      <c r="B15" s="269">
        <v>41972</v>
      </c>
      <c r="C15" s="252">
        <v>42</v>
      </c>
      <c r="D15" s="116">
        <v>6</v>
      </c>
      <c r="E15" s="116">
        <v>3</v>
      </c>
      <c r="F15" s="154">
        <v>16</v>
      </c>
      <c r="G15" s="154">
        <v>5</v>
      </c>
      <c r="H15" s="253">
        <v>911</v>
      </c>
      <c r="I15" s="249">
        <v>3</v>
      </c>
      <c r="J15" s="122">
        <v>4</v>
      </c>
      <c r="K15" s="119">
        <v>1.3333333333333333</v>
      </c>
      <c r="L15" s="124">
        <v>0.1</v>
      </c>
      <c r="M15" s="119">
        <v>1.4458968745666667</v>
      </c>
      <c r="N15" s="172">
        <v>12</v>
      </c>
      <c r="O15" s="173">
        <v>0</v>
      </c>
      <c r="P15" s="220">
        <v>0</v>
      </c>
    </row>
    <row r="16" spans="2:19" x14ac:dyDescent="0.25">
      <c r="B16" s="271" t="s">
        <v>542</v>
      </c>
      <c r="C16" s="194"/>
      <c r="D16" s="195"/>
      <c r="E16" s="195"/>
      <c r="F16" s="195"/>
      <c r="G16" s="195"/>
      <c r="H16" s="218"/>
      <c r="I16" s="195"/>
      <c r="J16" s="195"/>
      <c r="K16" s="195"/>
      <c r="L16" s="195"/>
      <c r="M16" s="195"/>
      <c r="N16" s="195"/>
      <c r="O16" s="195"/>
      <c r="P16" s="218"/>
      <c r="R16" s="258"/>
      <c r="S16" s="258"/>
    </row>
    <row r="17" spans="2:19" x14ac:dyDescent="0.25">
      <c r="B17" s="269">
        <v>42000</v>
      </c>
      <c r="C17" s="252">
        <v>189</v>
      </c>
      <c r="D17" s="116">
        <v>8</v>
      </c>
      <c r="E17" s="116">
        <v>10</v>
      </c>
      <c r="F17" s="116">
        <v>21</v>
      </c>
      <c r="G17" s="116">
        <v>26</v>
      </c>
      <c r="H17" s="253">
        <v>10369</v>
      </c>
      <c r="I17" s="248">
        <v>27</v>
      </c>
      <c r="J17" s="116">
        <v>51</v>
      </c>
      <c r="K17" s="117">
        <v>1.8888888888888888</v>
      </c>
      <c r="L17" s="123">
        <v>0.32142857142857145</v>
      </c>
      <c r="M17" s="117">
        <v>1.1371846680266666</v>
      </c>
      <c r="N17" s="117">
        <v>45.568627450980394</v>
      </c>
      <c r="O17" s="123">
        <v>0</v>
      </c>
      <c r="P17" s="219">
        <v>8.9285714285714288E-2</v>
      </c>
    </row>
    <row r="18" spans="2:19" x14ac:dyDescent="0.25">
      <c r="B18" s="269">
        <v>41993</v>
      </c>
      <c r="C18" s="252">
        <v>27</v>
      </c>
      <c r="D18" s="116">
        <v>6</v>
      </c>
      <c r="E18" s="116">
        <v>6</v>
      </c>
      <c r="F18" s="116">
        <v>29</v>
      </c>
      <c r="G18" s="116">
        <v>36</v>
      </c>
      <c r="H18" s="253">
        <v>14361</v>
      </c>
      <c r="I18" s="248">
        <v>22</v>
      </c>
      <c r="J18" s="116">
        <v>38</v>
      </c>
      <c r="K18" s="117">
        <v>1.7272727272727273</v>
      </c>
      <c r="L18" s="123">
        <v>0.23404255319148937</v>
      </c>
      <c r="M18" s="117">
        <v>1.4340681744413792</v>
      </c>
      <c r="N18" s="117">
        <v>50.421052631578945</v>
      </c>
      <c r="O18" s="123">
        <v>0</v>
      </c>
      <c r="P18" s="219">
        <v>0.15555555555555556</v>
      </c>
    </row>
    <row r="19" spans="2:19" ht="15.75" thickBot="1" x14ac:dyDescent="0.3">
      <c r="B19" s="270">
        <v>41972</v>
      </c>
      <c r="C19" s="259">
        <v>66</v>
      </c>
      <c r="D19" s="122">
        <v>20</v>
      </c>
      <c r="E19" s="122">
        <v>3</v>
      </c>
      <c r="F19" s="122">
        <v>39</v>
      </c>
      <c r="G19" s="122">
        <v>6</v>
      </c>
      <c r="H19" s="256">
        <v>33265</v>
      </c>
      <c r="I19" s="249">
        <v>12</v>
      </c>
      <c r="J19" s="122">
        <v>18</v>
      </c>
      <c r="K19" s="119">
        <v>1.5</v>
      </c>
      <c r="L19" s="124">
        <v>0.12121212121212122</v>
      </c>
      <c r="M19" s="119">
        <v>1.8245035212384615</v>
      </c>
      <c r="N19" s="119">
        <v>42.944444444444443</v>
      </c>
      <c r="O19" s="124">
        <v>0</v>
      </c>
      <c r="P19" s="220">
        <v>0.18181818181818182</v>
      </c>
    </row>
    <row r="20" spans="2:19" x14ac:dyDescent="0.25">
      <c r="B20" s="271" t="s">
        <v>18</v>
      </c>
      <c r="C20" s="194"/>
      <c r="D20" s="195"/>
      <c r="E20" s="195"/>
      <c r="F20" s="195"/>
      <c r="G20" s="195"/>
      <c r="H20" s="218"/>
      <c r="I20" s="195"/>
      <c r="J20" s="195"/>
      <c r="K20" s="195"/>
      <c r="L20" s="195"/>
      <c r="M20" s="195"/>
      <c r="N20" s="195"/>
      <c r="O20" s="195"/>
      <c r="P20" s="218"/>
    </row>
    <row r="21" spans="2:19" x14ac:dyDescent="0.25">
      <c r="B21" s="269">
        <v>42000</v>
      </c>
      <c r="C21" s="252">
        <v>46</v>
      </c>
      <c r="D21" s="116">
        <v>7</v>
      </c>
      <c r="E21" s="116">
        <v>5</v>
      </c>
      <c r="F21" s="116">
        <v>33</v>
      </c>
      <c r="G21" s="116">
        <v>14</v>
      </c>
      <c r="H21" s="253">
        <v>21868</v>
      </c>
      <c r="I21" s="248">
        <v>6</v>
      </c>
      <c r="J21" s="116">
        <v>19</v>
      </c>
      <c r="K21" s="117">
        <v>3.1666666666666665</v>
      </c>
      <c r="L21" s="123">
        <v>0.13043478260869565</v>
      </c>
      <c r="M21" s="117">
        <v>7.4750729963117655</v>
      </c>
      <c r="N21" s="117">
        <v>189</v>
      </c>
      <c r="O21" s="123">
        <v>0.26923076923076922</v>
      </c>
      <c r="P21" s="219">
        <v>0</v>
      </c>
    </row>
    <row r="22" spans="2:19" x14ac:dyDescent="0.25">
      <c r="B22" s="269">
        <v>41993</v>
      </c>
      <c r="C22" s="252">
        <v>52</v>
      </c>
      <c r="D22" s="116">
        <v>12</v>
      </c>
      <c r="E22" s="116">
        <v>21</v>
      </c>
      <c r="F22" s="116">
        <v>51</v>
      </c>
      <c r="G22" s="116">
        <v>74</v>
      </c>
      <c r="H22" s="253">
        <v>22825</v>
      </c>
      <c r="I22" s="248">
        <v>44</v>
      </c>
      <c r="J22" s="116">
        <v>144</v>
      </c>
      <c r="K22" s="117">
        <v>3.2727272727272729</v>
      </c>
      <c r="L22" s="123">
        <v>0.40366972477064222</v>
      </c>
      <c r="M22" s="117">
        <v>7.1613708921499999</v>
      </c>
      <c r="N22" s="117">
        <v>182.10416666666666</v>
      </c>
      <c r="O22" s="123">
        <v>0.12562814070351758</v>
      </c>
      <c r="P22" s="219">
        <v>0.15075376884422109</v>
      </c>
    </row>
    <row r="23" spans="2:19" ht="15.75" thickBot="1" x14ac:dyDescent="0.3">
      <c r="B23" s="269">
        <v>41972</v>
      </c>
      <c r="C23" s="252">
        <v>49</v>
      </c>
      <c r="D23" s="116">
        <v>7</v>
      </c>
      <c r="E23" s="116">
        <v>13</v>
      </c>
      <c r="F23" s="116">
        <v>30</v>
      </c>
      <c r="G23" s="116">
        <v>35</v>
      </c>
      <c r="H23" s="253">
        <v>8401</v>
      </c>
      <c r="I23" s="248">
        <v>14</v>
      </c>
      <c r="J23" s="116">
        <v>23</v>
      </c>
      <c r="K23" s="119">
        <v>1.6428571428571428</v>
      </c>
      <c r="L23" s="124">
        <v>0.27450980392156865</v>
      </c>
      <c r="M23" s="119">
        <v>5.4021946768636369</v>
      </c>
      <c r="N23" s="119">
        <v>137.56521739130434</v>
      </c>
      <c r="O23" s="124">
        <v>7.1428571428571425E-2</v>
      </c>
      <c r="P23" s="220">
        <v>0.10714285714285714</v>
      </c>
    </row>
    <row r="24" spans="2:19" x14ac:dyDescent="0.25">
      <c r="B24" s="272" t="s">
        <v>19</v>
      </c>
      <c r="C24" s="194"/>
      <c r="D24" s="195"/>
      <c r="E24" s="195"/>
      <c r="F24" s="195"/>
      <c r="G24" s="195"/>
      <c r="H24" s="218"/>
      <c r="I24" s="195"/>
      <c r="J24" s="195"/>
      <c r="K24" s="195"/>
      <c r="L24" s="195"/>
      <c r="M24" s="195"/>
      <c r="N24" s="195"/>
      <c r="O24" s="195"/>
      <c r="P24" s="218"/>
      <c r="R24" s="258"/>
      <c r="S24" s="258"/>
    </row>
    <row r="25" spans="2:19" x14ac:dyDescent="0.25">
      <c r="B25" s="269">
        <v>42000</v>
      </c>
      <c r="C25" s="252">
        <v>46</v>
      </c>
      <c r="D25" s="116">
        <v>8</v>
      </c>
      <c r="E25" s="116">
        <v>3</v>
      </c>
      <c r="F25" s="116">
        <v>19</v>
      </c>
      <c r="G25" s="116">
        <v>7</v>
      </c>
      <c r="H25" s="253">
        <v>12693</v>
      </c>
      <c r="I25" s="250">
        <v>6</v>
      </c>
      <c r="J25" s="154">
        <v>19</v>
      </c>
      <c r="K25" s="117">
        <v>3.1666666666666665</v>
      </c>
      <c r="L25" s="123">
        <v>0.3</v>
      </c>
      <c r="M25" s="117">
        <v>12.116811154000001</v>
      </c>
      <c r="N25" s="117">
        <v>238.47368421052633</v>
      </c>
      <c r="O25" s="123">
        <v>0</v>
      </c>
      <c r="P25" s="219">
        <v>9.5238095238095233E-2</v>
      </c>
    </row>
    <row r="26" spans="2:19" x14ac:dyDescent="0.25">
      <c r="B26" s="269">
        <v>41993</v>
      </c>
      <c r="C26" s="252">
        <v>56</v>
      </c>
      <c r="D26" s="116">
        <v>9</v>
      </c>
      <c r="E26" s="116">
        <v>7</v>
      </c>
      <c r="F26" s="116">
        <v>26</v>
      </c>
      <c r="G26" s="116">
        <v>12</v>
      </c>
      <c r="H26" s="253">
        <v>12201</v>
      </c>
      <c r="I26" s="248">
        <v>19</v>
      </c>
      <c r="J26" s="116">
        <v>55</v>
      </c>
      <c r="K26" s="117">
        <v>2.8947368421052633</v>
      </c>
      <c r="L26" s="123">
        <v>0.41304347826086957</v>
      </c>
      <c r="M26" s="117">
        <v>10.103404389024391</v>
      </c>
      <c r="N26" s="117">
        <v>259.34545454545457</v>
      </c>
      <c r="O26" s="171">
        <v>1.7241379310344827E-2</v>
      </c>
      <c r="P26" s="219">
        <v>3.4482758620689655E-2</v>
      </c>
    </row>
    <row r="27" spans="2:19" ht="15.75" thickBot="1" x14ac:dyDescent="0.3">
      <c r="B27" s="269">
        <v>41972</v>
      </c>
      <c r="C27" s="252">
        <v>19</v>
      </c>
      <c r="D27" s="116">
        <v>4</v>
      </c>
      <c r="E27" s="116">
        <v>1</v>
      </c>
      <c r="F27" s="116">
        <v>8</v>
      </c>
      <c r="G27" s="116">
        <v>1</v>
      </c>
      <c r="H27" s="253">
        <v>3542</v>
      </c>
      <c r="I27" s="249">
        <v>9</v>
      </c>
      <c r="J27" s="122">
        <v>22</v>
      </c>
      <c r="K27" s="119">
        <v>2.4444444444444446</v>
      </c>
      <c r="L27" s="124">
        <v>0.39130434782608697</v>
      </c>
      <c r="M27" s="119">
        <v>5.8820766576923074</v>
      </c>
      <c r="N27" s="119">
        <v>119.31818181818181</v>
      </c>
      <c r="O27" s="124">
        <v>0</v>
      </c>
      <c r="P27" s="220">
        <v>0</v>
      </c>
    </row>
    <row r="28" spans="2:19" x14ac:dyDescent="0.25">
      <c r="B28" s="272" t="s">
        <v>468</v>
      </c>
      <c r="C28" s="194"/>
      <c r="D28" s="195"/>
      <c r="E28" s="195"/>
      <c r="F28" s="195"/>
      <c r="G28" s="195"/>
      <c r="H28" s="218"/>
      <c r="I28" s="195"/>
      <c r="J28" s="195"/>
      <c r="K28" s="195"/>
      <c r="L28" s="195"/>
      <c r="M28" s="195"/>
      <c r="N28" s="195"/>
      <c r="O28" s="195"/>
      <c r="P28" s="218"/>
    </row>
    <row r="29" spans="2:19" x14ac:dyDescent="0.25">
      <c r="B29" s="269">
        <v>42000</v>
      </c>
      <c r="C29" s="252">
        <v>37</v>
      </c>
      <c r="D29" s="116">
        <v>2</v>
      </c>
      <c r="E29" s="116">
        <v>9</v>
      </c>
      <c r="F29" s="116">
        <v>13</v>
      </c>
      <c r="G29" s="116">
        <v>23</v>
      </c>
      <c r="H29" s="253">
        <v>5532</v>
      </c>
      <c r="I29" s="248">
        <v>7</v>
      </c>
      <c r="J29" s="116">
        <v>18</v>
      </c>
      <c r="K29" s="117">
        <v>2.5714285714285716</v>
      </c>
      <c r="L29" s="123">
        <v>0.29166666666666669</v>
      </c>
      <c r="M29" s="117">
        <v>4.7707337664000002</v>
      </c>
      <c r="N29" s="117">
        <v>132.16666666666666</v>
      </c>
      <c r="O29" s="123">
        <v>4.5454545454545456E-2</v>
      </c>
      <c r="P29" s="219">
        <v>0.13636363636363635</v>
      </c>
    </row>
    <row r="30" spans="2:19" x14ac:dyDescent="0.25">
      <c r="B30" s="269">
        <v>41993</v>
      </c>
      <c r="C30" s="252">
        <v>27</v>
      </c>
      <c r="D30" s="116">
        <v>3</v>
      </c>
      <c r="E30" s="116">
        <v>18</v>
      </c>
      <c r="F30" s="116">
        <v>16</v>
      </c>
      <c r="G30" s="116">
        <v>40</v>
      </c>
      <c r="H30" s="253">
        <v>8729</v>
      </c>
      <c r="I30" s="248">
        <v>31</v>
      </c>
      <c r="J30" s="116">
        <v>87</v>
      </c>
      <c r="K30" s="117">
        <v>2.806451612903226</v>
      </c>
      <c r="L30" s="123">
        <v>0.59615384615384615</v>
      </c>
      <c r="M30" s="117">
        <v>5.3075967228179106</v>
      </c>
      <c r="N30" s="117">
        <v>148.31034482758622</v>
      </c>
      <c r="O30" s="123">
        <v>0.11504424778761062</v>
      </c>
      <c r="P30" s="219">
        <v>0.11504424778761062</v>
      </c>
    </row>
    <row r="31" spans="2:19" ht="16.5" customHeight="1" thickBot="1" x14ac:dyDescent="0.3">
      <c r="B31" s="269">
        <v>41972</v>
      </c>
      <c r="C31" s="252">
        <v>25</v>
      </c>
      <c r="D31" s="116">
        <v>3</v>
      </c>
      <c r="E31" s="116">
        <v>9</v>
      </c>
      <c r="F31" s="116">
        <v>12</v>
      </c>
      <c r="G31" s="116">
        <v>13</v>
      </c>
      <c r="H31" s="253">
        <v>5064</v>
      </c>
      <c r="I31" s="249">
        <v>7</v>
      </c>
      <c r="J31" s="122">
        <v>17</v>
      </c>
      <c r="K31" s="119">
        <v>2.4285714285714284</v>
      </c>
      <c r="L31" s="124">
        <v>0.22580645161290322</v>
      </c>
      <c r="M31" s="119">
        <v>4.5060536012800005</v>
      </c>
      <c r="N31" s="119">
        <v>128.23529411764707</v>
      </c>
      <c r="O31" s="124">
        <v>0.14814814814814814</v>
      </c>
      <c r="P31" s="220">
        <v>0.22222222222222221</v>
      </c>
    </row>
    <row r="32" spans="2:19" x14ac:dyDescent="0.25">
      <c r="B32" s="272" t="s">
        <v>549</v>
      </c>
      <c r="C32" s="194"/>
      <c r="D32" s="195"/>
      <c r="E32" s="195"/>
      <c r="F32" s="195"/>
      <c r="G32" s="195"/>
      <c r="H32" s="218"/>
      <c r="I32" s="195"/>
      <c r="J32" s="195"/>
      <c r="K32" s="195"/>
      <c r="L32" s="195"/>
      <c r="M32" s="195"/>
      <c r="N32" s="195"/>
      <c r="O32" s="195"/>
      <c r="P32" s="218"/>
    </row>
    <row r="33" spans="2:16" x14ac:dyDescent="0.25">
      <c r="B33" s="269">
        <v>42000</v>
      </c>
      <c r="C33" s="252">
        <v>40</v>
      </c>
      <c r="D33" s="116">
        <v>1</v>
      </c>
      <c r="E33" s="116">
        <v>0</v>
      </c>
      <c r="F33" s="116">
        <v>1</v>
      </c>
      <c r="G33" s="116">
        <v>0</v>
      </c>
      <c r="H33" s="253">
        <v>570</v>
      </c>
      <c r="I33" s="248">
        <v>5</v>
      </c>
      <c r="J33" s="116">
        <v>7</v>
      </c>
      <c r="K33" s="117">
        <v>1.4</v>
      </c>
      <c r="L33" s="123">
        <v>0.19230769230769232</v>
      </c>
      <c r="M33" s="117">
        <v>5.1983353818000007</v>
      </c>
      <c r="N33" s="117">
        <v>291</v>
      </c>
      <c r="O33" s="123">
        <v>0.125</v>
      </c>
      <c r="P33" s="219">
        <v>0</v>
      </c>
    </row>
    <row r="34" spans="2:16" ht="16.5" customHeight="1" x14ac:dyDescent="0.25">
      <c r="B34" s="269">
        <v>41993</v>
      </c>
      <c r="C34" s="252">
        <v>19</v>
      </c>
      <c r="D34" s="116">
        <v>2</v>
      </c>
      <c r="E34" s="116">
        <v>1</v>
      </c>
      <c r="F34" s="116">
        <v>5</v>
      </c>
      <c r="G34" s="116">
        <v>1</v>
      </c>
      <c r="H34" s="253">
        <v>363</v>
      </c>
      <c r="I34" s="248">
        <v>1</v>
      </c>
      <c r="J34" s="116">
        <v>1</v>
      </c>
      <c r="K34" s="117">
        <v>1</v>
      </c>
      <c r="L34" s="123">
        <v>6.25E-2</v>
      </c>
      <c r="M34" s="117">
        <v>0.42368877720000003</v>
      </c>
      <c r="N34" s="117">
        <v>13</v>
      </c>
      <c r="O34" s="123">
        <v>0</v>
      </c>
      <c r="P34" s="219">
        <v>0.66666666666666663</v>
      </c>
    </row>
    <row r="35" spans="2:16" ht="15.75" thickBot="1" x14ac:dyDescent="0.3">
      <c r="B35" s="269">
        <v>41972</v>
      </c>
      <c r="C35" s="252">
        <v>0</v>
      </c>
      <c r="D35" s="116">
        <v>0</v>
      </c>
      <c r="E35" s="116">
        <v>0</v>
      </c>
      <c r="F35" s="116">
        <v>0</v>
      </c>
      <c r="G35" s="116">
        <v>0</v>
      </c>
      <c r="H35" s="253">
        <v>0</v>
      </c>
      <c r="I35" s="248">
        <v>1</v>
      </c>
      <c r="J35" s="116">
        <v>1</v>
      </c>
      <c r="K35" s="119">
        <v>1</v>
      </c>
      <c r="L35" s="123">
        <v>1</v>
      </c>
      <c r="M35" s="117">
        <v>8.1478611000000001</v>
      </c>
      <c r="N35" s="117">
        <v>481</v>
      </c>
      <c r="O35" s="123">
        <v>0.5</v>
      </c>
      <c r="P35" s="219">
        <v>0</v>
      </c>
    </row>
    <row r="36" spans="2:16" x14ac:dyDescent="0.25">
      <c r="B36" s="272" t="s">
        <v>20</v>
      </c>
      <c r="C36" s="194"/>
      <c r="D36" s="195"/>
      <c r="E36" s="195"/>
      <c r="F36" s="195"/>
      <c r="G36" s="195"/>
      <c r="H36" s="218"/>
      <c r="I36" s="195"/>
      <c r="J36" s="195"/>
      <c r="K36" s="195"/>
      <c r="L36" s="195"/>
      <c r="M36" s="195"/>
      <c r="N36" s="195"/>
      <c r="O36" s="195"/>
      <c r="P36" s="218"/>
    </row>
    <row r="37" spans="2:16" x14ac:dyDescent="0.25">
      <c r="B37" s="269">
        <v>42000</v>
      </c>
      <c r="C37" s="252">
        <v>12</v>
      </c>
      <c r="D37" s="116">
        <v>2</v>
      </c>
      <c r="E37" s="116">
        <v>0</v>
      </c>
      <c r="F37" s="116">
        <v>8</v>
      </c>
      <c r="G37" s="116">
        <v>0</v>
      </c>
      <c r="H37" s="253">
        <v>5414</v>
      </c>
      <c r="I37" s="248">
        <v>2</v>
      </c>
      <c r="J37" s="116">
        <v>5</v>
      </c>
      <c r="K37" s="117">
        <v>2.5</v>
      </c>
      <c r="L37" s="123">
        <v>0.25</v>
      </c>
      <c r="M37" s="117">
        <v>0.92045760345000005</v>
      </c>
      <c r="N37" s="117">
        <v>23.2</v>
      </c>
      <c r="O37" s="123">
        <v>0</v>
      </c>
      <c r="P37" s="219">
        <v>0</v>
      </c>
    </row>
    <row r="38" spans="2:16" x14ac:dyDescent="0.25">
      <c r="B38" s="269">
        <v>41993</v>
      </c>
      <c r="C38" s="252">
        <v>6</v>
      </c>
      <c r="D38" s="116">
        <v>3</v>
      </c>
      <c r="E38" s="116">
        <v>1</v>
      </c>
      <c r="F38" s="116">
        <v>4</v>
      </c>
      <c r="G38" s="116">
        <v>3</v>
      </c>
      <c r="H38" s="253">
        <v>1670</v>
      </c>
      <c r="I38" s="248">
        <v>5</v>
      </c>
      <c r="J38" s="116">
        <v>14</v>
      </c>
      <c r="K38" s="117">
        <v>2.8</v>
      </c>
      <c r="L38" s="123">
        <v>0.21739130434782608</v>
      </c>
      <c r="M38" s="117">
        <v>2.9775408838874999</v>
      </c>
      <c r="N38" s="117">
        <v>95.857142857142861</v>
      </c>
      <c r="O38" s="123">
        <v>0</v>
      </c>
      <c r="P38" s="219">
        <v>0</v>
      </c>
    </row>
    <row r="39" spans="2:16" ht="15.75" thickBot="1" x14ac:dyDescent="0.3">
      <c r="B39" s="269">
        <v>41972</v>
      </c>
      <c r="C39" s="252">
        <v>11</v>
      </c>
      <c r="D39" s="116">
        <v>8</v>
      </c>
      <c r="E39" s="116">
        <v>2</v>
      </c>
      <c r="F39" s="116">
        <v>14</v>
      </c>
      <c r="G39" s="116">
        <v>3</v>
      </c>
      <c r="H39" s="253">
        <v>17048</v>
      </c>
      <c r="I39" s="248">
        <v>4</v>
      </c>
      <c r="J39" s="116">
        <v>10</v>
      </c>
      <c r="K39" s="119">
        <v>2.5</v>
      </c>
      <c r="L39" s="123">
        <v>0.2857142857142857</v>
      </c>
      <c r="M39" s="117">
        <v>8.6885619234749996</v>
      </c>
      <c r="N39" s="117">
        <v>151.4</v>
      </c>
      <c r="O39" s="123">
        <v>0</v>
      </c>
      <c r="P39" s="219">
        <v>0</v>
      </c>
    </row>
    <row r="40" spans="2:16" x14ac:dyDescent="0.25">
      <c r="B40" s="272" t="s">
        <v>546</v>
      </c>
      <c r="C40" s="194"/>
      <c r="D40" s="195"/>
      <c r="E40" s="195"/>
      <c r="F40" s="195"/>
      <c r="G40" s="195"/>
      <c r="H40" s="218"/>
      <c r="I40" s="195"/>
      <c r="J40" s="195"/>
      <c r="K40" s="195"/>
      <c r="L40" s="195"/>
      <c r="M40" s="195"/>
      <c r="N40" s="195"/>
      <c r="O40" s="195"/>
      <c r="P40" s="218"/>
    </row>
    <row r="41" spans="2:16" x14ac:dyDescent="0.25">
      <c r="B41" s="269">
        <v>42000</v>
      </c>
      <c r="C41" s="252">
        <v>55</v>
      </c>
      <c r="D41" s="116">
        <v>7</v>
      </c>
      <c r="E41" s="116">
        <v>8</v>
      </c>
      <c r="F41" s="116">
        <v>15</v>
      </c>
      <c r="G41" s="116">
        <v>10</v>
      </c>
      <c r="H41" s="253">
        <v>22863</v>
      </c>
      <c r="I41" s="248">
        <v>0</v>
      </c>
      <c r="J41" s="116">
        <v>3</v>
      </c>
      <c r="K41" s="117">
        <v>0</v>
      </c>
      <c r="L41" s="123">
        <v>0</v>
      </c>
      <c r="M41" s="117">
        <v>33.600613270000004</v>
      </c>
      <c r="N41" s="117">
        <v>700</v>
      </c>
      <c r="O41" s="123">
        <v>0</v>
      </c>
      <c r="P41" s="219">
        <v>0.75</v>
      </c>
    </row>
    <row r="42" spans="2:16" x14ac:dyDescent="0.25">
      <c r="B42" s="269">
        <v>41993</v>
      </c>
      <c r="C42" s="252">
        <v>38</v>
      </c>
      <c r="D42" s="116">
        <v>7</v>
      </c>
      <c r="E42" s="116">
        <v>4</v>
      </c>
      <c r="F42" s="116">
        <v>15</v>
      </c>
      <c r="G42" s="116">
        <v>5</v>
      </c>
      <c r="H42" s="253">
        <v>17386</v>
      </c>
      <c r="I42" s="248">
        <v>4</v>
      </c>
      <c r="J42" s="116">
        <v>7</v>
      </c>
      <c r="K42" s="117">
        <v>1.75</v>
      </c>
      <c r="L42" s="123">
        <v>0.33333333333333331</v>
      </c>
      <c r="M42" s="117">
        <v>25.613267486960002</v>
      </c>
      <c r="N42" s="117">
        <v>796.57142857142856</v>
      </c>
      <c r="O42" s="123">
        <v>0.30769230769230771</v>
      </c>
      <c r="P42" s="219">
        <v>7.6923076923076927E-2</v>
      </c>
    </row>
    <row r="43" spans="2:16" ht="15.75" thickBot="1" x14ac:dyDescent="0.3">
      <c r="B43" s="269">
        <v>41972</v>
      </c>
      <c r="C43" s="252">
        <v>25</v>
      </c>
      <c r="D43" s="116">
        <v>1</v>
      </c>
      <c r="E43" s="116">
        <v>0</v>
      </c>
      <c r="F43" s="116">
        <v>3</v>
      </c>
      <c r="G43" s="116">
        <v>0</v>
      </c>
      <c r="H43" s="253">
        <v>9715</v>
      </c>
      <c r="I43" s="248">
        <v>2</v>
      </c>
      <c r="J43" s="116">
        <v>3</v>
      </c>
      <c r="K43" s="119">
        <v>1.5</v>
      </c>
      <c r="L43" s="123">
        <v>0.16666666666666666</v>
      </c>
      <c r="M43" s="117">
        <v>7.4881366715999995</v>
      </c>
      <c r="N43" s="117">
        <v>276.33333333333331</v>
      </c>
      <c r="O43" s="123">
        <v>0</v>
      </c>
      <c r="P43" s="219">
        <v>0.25</v>
      </c>
    </row>
    <row r="44" spans="2:16" x14ac:dyDescent="0.25">
      <c r="B44" s="272" t="s">
        <v>538</v>
      </c>
      <c r="C44" s="194"/>
      <c r="D44" s="195"/>
      <c r="E44" s="195"/>
      <c r="F44" s="195"/>
      <c r="G44" s="195"/>
      <c r="H44" s="218"/>
      <c r="I44" s="195"/>
      <c r="J44" s="195"/>
      <c r="K44" s="195"/>
      <c r="L44" s="195"/>
      <c r="M44" s="195"/>
      <c r="N44" s="195"/>
      <c r="O44" s="195"/>
      <c r="P44" s="218"/>
    </row>
    <row r="45" spans="2:16" x14ac:dyDescent="0.25">
      <c r="B45" s="269">
        <v>42000</v>
      </c>
      <c r="C45" s="252">
        <v>46</v>
      </c>
      <c r="D45" s="116">
        <v>6</v>
      </c>
      <c r="E45" s="116">
        <v>3</v>
      </c>
      <c r="F45" s="116">
        <v>11</v>
      </c>
      <c r="G45" s="116">
        <v>3</v>
      </c>
      <c r="H45" s="253">
        <v>3728</v>
      </c>
      <c r="I45" s="248">
        <v>2</v>
      </c>
      <c r="J45" s="116">
        <v>3</v>
      </c>
      <c r="K45" s="117">
        <v>1.5</v>
      </c>
      <c r="L45" s="123">
        <v>0.15384615384615385</v>
      </c>
      <c r="M45" s="117">
        <v>8.4817549999999997</v>
      </c>
      <c r="N45" s="117">
        <v>84</v>
      </c>
      <c r="O45" s="123">
        <v>0</v>
      </c>
      <c r="P45" s="219">
        <v>0</v>
      </c>
    </row>
    <row r="46" spans="2:16" x14ac:dyDescent="0.25">
      <c r="B46" s="269">
        <v>41993</v>
      </c>
      <c r="C46" s="252">
        <v>45</v>
      </c>
      <c r="D46" s="116">
        <v>4</v>
      </c>
      <c r="E46" s="116">
        <v>0</v>
      </c>
      <c r="F46" s="116">
        <v>13</v>
      </c>
      <c r="G46" s="116">
        <v>0</v>
      </c>
      <c r="H46" s="253">
        <v>13915</v>
      </c>
      <c r="I46" s="248">
        <v>0</v>
      </c>
      <c r="J46" s="116">
        <v>0</v>
      </c>
      <c r="K46" s="117">
        <v>0</v>
      </c>
      <c r="L46" s="123">
        <v>0</v>
      </c>
      <c r="M46" s="117">
        <v>0</v>
      </c>
      <c r="N46" s="117">
        <v>0</v>
      </c>
      <c r="O46" s="123">
        <v>0</v>
      </c>
      <c r="P46" s="219">
        <v>0</v>
      </c>
    </row>
    <row r="47" spans="2:16" ht="15.75" thickBot="1" x14ac:dyDescent="0.3">
      <c r="B47" s="270">
        <v>41972</v>
      </c>
      <c r="C47" s="259">
        <v>39</v>
      </c>
      <c r="D47" s="122">
        <v>3</v>
      </c>
      <c r="E47" s="122">
        <v>1</v>
      </c>
      <c r="F47" s="122">
        <v>6</v>
      </c>
      <c r="G47" s="122">
        <v>1</v>
      </c>
      <c r="H47" s="256">
        <v>8242</v>
      </c>
      <c r="I47" s="249">
        <v>3</v>
      </c>
      <c r="J47" s="122">
        <v>3</v>
      </c>
      <c r="K47" s="119">
        <v>1</v>
      </c>
      <c r="L47" s="124">
        <v>0.27272727272727271</v>
      </c>
      <c r="M47" s="119">
        <v>164.16299999999998</v>
      </c>
      <c r="N47" s="119">
        <v>1687.3333333333333</v>
      </c>
      <c r="O47" s="124">
        <v>0</v>
      </c>
      <c r="P47" s="220">
        <v>0.4</v>
      </c>
    </row>
    <row r="48" spans="2:16" x14ac:dyDescent="0.25">
      <c r="B48" s="272" t="s">
        <v>537</v>
      </c>
      <c r="C48" s="194"/>
      <c r="D48" s="195"/>
      <c r="E48" s="195"/>
      <c r="F48" s="195"/>
      <c r="G48" s="195"/>
      <c r="H48" s="218"/>
      <c r="I48" s="195"/>
      <c r="J48" s="195"/>
      <c r="K48" s="195"/>
      <c r="L48" s="195"/>
      <c r="M48" s="195"/>
      <c r="N48" s="195"/>
      <c r="O48" s="195"/>
      <c r="P48" s="218"/>
    </row>
    <row r="49" spans="2:16" x14ac:dyDescent="0.25">
      <c r="B49" s="269">
        <v>42000</v>
      </c>
      <c r="C49" s="252">
        <v>14</v>
      </c>
      <c r="D49" s="116">
        <v>2</v>
      </c>
      <c r="E49" s="116">
        <v>0</v>
      </c>
      <c r="F49" s="116">
        <v>6</v>
      </c>
      <c r="G49" s="116">
        <v>0</v>
      </c>
      <c r="H49" s="253">
        <v>75641</v>
      </c>
      <c r="I49" s="248">
        <v>2</v>
      </c>
      <c r="J49" s="116">
        <v>2</v>
      </c>
      <c r="K49" s="117">
        <v>1</v>
      </c>
      <c r="L49" s="123">
        <v>0.15384615384615385</v>
      </c>
      <c r="M49" s="117">
        <v>0.38787212999999998</v>
      </c>
      <c r="N49" s="117">
        <v>2</v>
      </c>
      <c r="O49" s="123">
        <v>0</v>
      </c>
      <c r="P49" s="219">
        <v>0.33333333333333331</v>
      </c>
    </row>
    <row r="50" spans="2:16" x14ac:dyDescent="0.25">
      <c r="B50" s="269">
        <v>41993</v>
      </c>
      <c r="C50" s="252">
        <v>19</v>
      </c>
      <c r="D50" s="116">
        <v>2</v>
      </c>
      <c r="E50" s="116">
        <v>0</v>
      </c>
      <c r="F50" s="116">
        <v>5</v>
      </c>
      <c r="G50" s="116">
        <v>0</v>
      </c>
      <c r="H50" s="253">
        <v>855</v>
      </c>
      <c r="I50" s="248">
        <v>6</v>
      </c>
      <c r="J50" s="116">
        <v>8</v>
      </c>
      <c r="K50" s="117">
        <v>1.3333333333333333</v>
      </c>
      <c r="L50" s="123">
        <v>0.24</v>
      </c>
      <c r="M50" s="117">
        <v>0.90503496999999999</v>
      </c>
      <c r="N50" s="117">
        <v>6.375</v>
      </c>
      <c r="O50" s="123">
        <v>0</v>
      </c>
      <c r="P50" s="219">
        <v>0.1111111111111111</v>
      </c>
    </row>
    <row r="51" spans="2:16" ht="15.75" thickBot="1" x14ac:dyDescent="0.3">
      <c r="B51" s="269">
        <v>41972</v>
      </c>
      <c r="C51" s="252">
        <v>20</v>
      </c>
      <c r="D51" s="116">
        <v>2</v>
      </c>
      <c r="E51" s="116">
        <v>0</v>
      </c>
      <c r="F51" s="116">
        <v>4</v>
      </c>
      <c r="G51" s="116">
        <v>0</v>
      </c>
      <c r="H51" s="253">
        <v>1912</v>
      </c>
      <c r="I51" s="248">
        <v>1</v>
      </c>
      <c r="J51" s="116">
        <v>2</v>
      </c>
      <c r="K51" s="119">
        <v>2</v>
      </c>
      <c r="L51" s="123">
        <v>2.7777777777777776E-2</v>
      </c>
      <c r="M51" s="117">
        <v>9.9036683859999997</v>
      </c>
      <c r="N51" s="117">
        <v>252.5</v>
      </c>
      <c r="O51" s="123">
        <v>0.2</v>
      </c>
      <c r="P51" s="219">
        <v>0.4</v>
      </c>
    </row>
    <row r="52" spans="2:16" x14ac:dyDescent="0.25">
      <c r="B52" s="272" t="s">
        <v>486</v>
      </c>
      <c r="C52" s="194"/>
      <c r="D52" s="195"/>
      <c r="E52" s="195"/>
      <c r="F52" s="195"/>
      <c r="G52" s="195"/>
      <c r="H52" s="218"/>
      <c r="I52" s="195"/>
      <c r="J52" s="195"/>
      <c r="K52" s="195"/>
      <c r="L52" s="195"/>
      <c r="M52" s="195"/>
      <c r="N52" s="195"/>
      <c r="O52" s="195"/>
      <c r="P52" s="218"/>
    </row>
    <row r="53" spans="2:16" x14ac:dyDescent="0.25">
      <c r="B53" s="269">
        <v>42000</v>
      </c>
      <c r="C53" s="252">
        <v>13</v>
      </c>
      <c r="D53" s="116">
        <v>0</v>
      </c>
      <c r="E53" s="116">
        <v>0</v>
      </c>
      <c r="F53" s="116">
        <v>1</v>
      </c>
      <c r="G53" s="116">
        <v>0</v>
      </c>
      <c r="H53" s="253">
        <v>7236</v>
      </c>
      <c r="I53" s="248">
        <v>0</v>
      </c>
      <c r="J53" s="116">
        <v>0</v>
      </c>
      <c r="K53" s="117">
        <v>0</v>
      </c>
      <c r="L53" s="123">
        <v>0</v>
      </c>
      <c r="M53" s="117">
        <v>0</v>
      </c>
      <c r="N53" s="117">
        <v>0</v>
      </c>
      <c r="O53" s="123">
        <v>0</v>
      </c>
      <c r="P53" s="219">
        <v>0</v>
      </c>
    </row>
    <row r="54" spans="2:16" x14ac:dyDescent="0.25">
      <c r="B54" s="269">
        <v>41993</v>
      </c>
      <c r="C54" s="252">
        <v>4</v>
      </c>
      <c r="D54" s="116">
        <v>0</v>
      </c>
      <c r="E54" s="116">
        <v>0</v>
      </c>
      <c r="F54" s="116">
        <v>2</v>
      </c>
      <c r="G54" s="116">
        <v>0</v>
      </c>
      <c r="H54" s="253">
        <v>326</v>
      </c>
      <c r="I54" s="248">
        <v>1</v>
      </c>
      <c r="J54" s="116">
        <v>1</v>
      </c>
      <c r="K54" s="117">
        <v>1</v>
      </c>
      <c r="L54" s="123">
        <v>8.3333333333333329E-2</v>
      </c>
      <c r="M54" s="117">
        <v>9.1864588999999999</v>
      </c>
      <c r="N54" s="117">
        <v>294</v>
      </c>
      <c r="O54" s="123">
        <v>0</v>
      </c>
      <c r="P54" s="219">
        <v>0</v>
      </c>
    </row>
    <row r="55" spans="2:16" ht="15.75" thickBot="1" x14ac:dyDescent="0.3">
      <c r="B55" s="269">
        <v>41972</v>
      </c>
      <c r="C55" s="252">
        <v>60</v>
      </c>
      <c r="D55" s="116">
        <v>2</v>
      </c>
      <c r="E55" s="116">
        <v>2</v>
      </c>
      <c r="F55" s="116">
        <v>4</v>
      </c>
      <c r="G55" s="116">
        <v>10</v>
      </c>
      <c r="H55" s="253">
        <v>14</v>
      </c>
      <c r="I55" s="248">
        <v>4</v>
      </c>
      <c r="J55" s="116">
        <v>10</v>
      </c>
      <c r="K55" s="119">
        <v>2.5</v>
      </c>
      <c r="L55" s="123">
        <v>0.8</v>
      </c>
      <c r="M55" s="117">
        <v>1.5102538431599999</v>
      </c>
      <c r="N55" s="117">
        <v>47.2</v>
      </c>
      <c r="O55" s="123">
        <v>0</v>
      </c>
      <c r="P55" s="219">
        <v>0</v>
      </c>
    </row>
    <row r="56" spans="2:16" ht="30" customHeight="1" x14ac:dyDescent="0.25"/>
    <row r="57" spans="2:16" x14ac:dyDescent="0.25">
      <c r="B57" s="363" t="s">
        <v>489</v>
      </c>
      <c r="C57" s="364"/>
      <c r="D57" s="368" t="s">
        <v>490</v>
      </c>
      <c r="E57" s="369"/>
      <c r="F57" s="369"/>
      <c r="G57" s="370"/>
      <c r="H57" s="260"/>
      <c r="I57" s="260"/>
    </row>
    <row r="58" spans="2:16" x14ac:dyDescent="0.25">
      <c r="B58" s="363" t="s">
        <v>491</v>
      </c>
      <c r="C58" s="364"/>
      <c r="D58" s="368" t="s">
        <v>492</v>
      </c>
      <c r="E58" s="369"/>
      <c r="F58" s="369"/>
      <c r="G58" s="370"/>
      <c r="H58" s="260"/>
      <c r="I58" s="260"/>
    </row>
    <row r="60" spans="2:16" ht="15.75" thickBot="1" x14ac:dyDescent="0.3"/>
    <row r="61" spans="2:16" s="196" customFormat="1" ht="27.75" customHeight="1" x14ac:dyDescent="0.25">
      <c r="B61" s="345" t="s">
        <v>489</v>
      </c>
      <c r="C61" s="346"/>
      <c r="D61" s="372" t="s">
        <v>22</v>
      </c>
      <c r="E61" s="373"/>
      <c r="F61" s="351" t="s">
        <v>506</v>
      </c>
      <c r="G61" s="352"/>
      <c r="H61" s="352"/>
      <c r="I61" s="352"/>
      <c r="J61" s="352"/>
      <c r="K61" s="352"/>
      <c r="L61" s="352"/>
      <c r="M61" s="352"/>
      <c r="N61" s="352"/>
      <c r="O61" s="353"/>
    </row>
    <row r="62" spans="2:16" s="196" customFormat="1" ht="27.75" customHeight="1" x14ac:dyDescent="0.25">
      <c r="B62" s="347"/>
      <c r="C62" s="348"/>
      <c r="D62" s="354" t="s">
        <v>23</v>
      </c>
      <c r="E62" s="355"/>
      <c r="F62" s="342" t="s">
        <v>507</v>
      </c>
      <c r="G62" s="343"/>
      <c r="H62" s="343"/>
      <c r="I62" s="343"/>
      <c r="J62" s="343"/>
      <c r="K62" s="343"/>
      <c r="L62" s="343"/>
      <c r="M62" s="343"/>
      <c r="N62" s="343"/>
      <c r="O62" s="344"/>
    </row>
    <row r="63" spans="2:16" s="196" customFormat="1" ht="27.75" customHeight="1" x14ac:dyDescent="0.25">
      <c r="B63" s="347"/>
      <c r="C63" s="348"/>
      <c r="D63" s="354" t="s">
        <v>488</v>
      </c>
      <c r="E63" s="355"/>
      <c r="F63" s="342" t="s">
        <v>508</v>
      </c>
      <c r="G63" s="343"/>
      <c r="H63" s="343"/>
      <c r="I63" s="343"/>
      <c r="J63" s="343"/>
      <c r="K63" s="343"/>
      <c r="L63" s="343"/>
      <c r="M63" s="343"/>
      <c r="N63" s="343"/>
      <c r="O63" s="344"/>
    </row>
    <row r="64" spans="2:16" s="196" customFormat="1" ht="27.75" customHeight="1" x14ac:dyDescent="0.25">
      <c r="B64" s="347"/>
      <c r="C64" s="348"/>
      <c r="D64" s="334" t="s">
        <v>493</v>
      </c>
      <c r="E64" s="334"/>
      <c r="F64" s="336" t="s">
        <v>494</v>
      </c>
      <c r="G64" s="336"/>
      <c r="H64" s="336"/>
      <c r="I64" s="336"/>
      <c r="J64" s="336"/>
      <c r="K64" s="336"/>
      <c r="L64" s="336"/>
      <c r="M64" s="336"/>
      <c r="N64" s="336"/>
      <c r="O64" s="337"/>
    </row>
    <row r="65" spans="2:15" s="196" customFormat="1" ht="27.75" customHeight="1" x14ac:dyDescent="0.25">
      <c r="B65" s="347"/>
      <c r="C65" s="348"/>
      <c r="D65" s="334" t="s">
        <v>40</v>
      </c>
      <c r="E65" s="334"/>
      <c r="F65" s="336" t="s">
        <v>495</v>
      </c>
      <c r="G65" s="336"/>
      <c r="H65" s="336"/>
      <c r="I65" s="336"/>
      <c r="J65" s="336"/>
      <c r="K65" s="336"/>
      <c r="L65" s="336"/>
      <c r="M65" s="336"/>
      <c r="N65" s="336"/>
      <c r="O65" s="337"/>
    </row>
    <row r="66" spans="2:15" s="196" customFormat="1" ht="27.75" customHeight="1" thickBot="1" x14ac:dyDescent="0.3">
      <c r="B66" s="349"/>
      <c r="C66" s="350"/>
      <c r="D66" s="335" t="s">
        <v>464</v>
      </c>
      <c r="E66" s="335"/>
      <c r="F66" s="338" t="s">
        <v>496</v>
      </c>
      <c r="G66" s="338"/>
      <c r="H66" s="338"/>
      <c r="I66" s="338"/>
      <c r="J66" s="338"/>
      <c r="K66" s="338"/>
      <c r="L66" s="338"/>
      <c r="M66" s="338"/>
      <c r="N66" s="338"/>
      <c r="O66" s="339"/>
    </row>
    <row r="67" spans="2:15" s="196" customFormat="1" ht="27.75" customHeight="1" x14ac:dyDescent="0.25">
      <c r="B67" s="345" t="s">
        <v>491</v>
      </c>
      <c r="C67" s="346"/>
      <c r="D67" s="371" t="s">
        <v>465</v>
      </c>
      <c r="E67" s="371"/>
      <c r="F67" s="340" t="s">
        <v>497</v>
      </c>
      <c r="G67" s="340"/>
      <c r="H67" s="340"/>
      <c r="I67" s="340"/>
      <c r="J67" s="340"/>
      <c r="K67" s="340"/>
      <c r="L67" s="340"/>
      <c r="M67" s="340"/>
      <c r="N67" s="340"/>
      <c r="O67" s="341"/>
    </row>
    <row r="68" spans="2:15" s="196" customFormat="1" ht="27.75" customHeight="1" x14ac:dyDescent="0.25">
      <c r="B68" s="347"/>
      <c r="C68" s="348"/>
      <c r="D68" s="334" t="s">
        <v>472</v>
      </c>
      <c r="E68" s="334"/>
      <c r="F68" s="336" t="s">
        <v>498</v>
      </c>
      <c r="G68" s="336"/>
      <c r="H68" s="336"/>
      <c r="I68" s="336"/>
      <c r="J68" s="336"/>
      <c r="K68" s="336"/>
      <c r="L68" s="336"/>
      <c r="M68" s="336"/>
      <c r="N68" s="336"/>
      <c r="O68" s="337"/>
    </row>
    <row r="69" spans="2:15" s="196" customFormat="1" ht="27.75" customHeight="1" x14ac:dyDescent="0.25">
      <c r="B69" s="347"/>
      <c r="C69" s="348"/>
      <c r="D69" s="334" t="s">
        <v>473</v>
      </c>
      <c r="E69" s="334"/>
      <c r="F69" s="336" t="s">
        <v>499</v>
      </c>
      <c r="G69" s="336"/>
      <c r="H69" s="336"/>
      <c r="I69" s="336"/>
      <c r="J69" s="336"/>
      <c r="K69" s="336"/>
      <c r="L69" s="336"/>
      <c r="M69" s="336"/>
      <c r="N69" s="336"/>
      <c r="O69" s="337"/>
    </row>
    <row r="70" spans="2:15" s="196" customFormat="1" ht="27.75" customHeight="1" x14ac:dyDescent="0.25">
      <c r="B70" s="347"/>
      <c r="C70" s="348"/>
      <c r="D70" s="334" t="s">
        <v>474</v>
      </c>
      <c r="E70" s="334"/>
      <c r="F70" s="336" t="s">
        <v>500</v>
      </c>
      <c r="G70" s="336"/>
      <c r="H70" s="336"/>
      <c r="I70" s="336"/>
      <c r="J70" s="336"/>
      <c r="K70" s="336"/>
      <c r="L70" s="336"/>
      <c r="M70" s="336"/>
      <c r="N70" s="336"/>
      <c r="O70" s="337"/>
    </row>
    <row r="71" spans="2:15" s="196" customFormat="1" ht="27.75" customHeight="1" x14ac:dyDescent="0.25">
      <c r="B71" s="347"/>
      <c r="C71" s="348"/>
      <c r="D71" s="334" t="s">
        <v>501</v>
      </c>
      <c r="E71" s="334"/>
      <c r="F71" s="336" t="s">
        <v>502</v>
      </c>
      <c r="G71" s="336"/>
      <c r="H71" s="336"/>
      <c r="I71" s="336"/>
      <c r="J71" s="336"/>
      <c r="K71" s="336"/>
      <c r="L71" s="336"/>
      <c r="M71" s="336"/>
      <c r="N71" s="336"/>
      <c r="O71" s="337"/>
    </row>
    <row r="72" spans="2:15" s="196" customFormat="1" ht="27.75" customHeight="1" x14ac:dyDescent="0.25">
      <c r="B72" s="347"/>
      <c r="C72" s="348"/>
      <c r="D72" s="334" t="s">
        <v>503</v>
      </c>
      <c r="E72" s="334"/>
      <c r="F72" s="336" t="s">
        <v>504</v>
      </c>
      <c r="G72" s="336"/>
      <c r="H72" s="336"/>
      <c r="I72" s="336"/>
      <c r="J72" s="336"/>
      <c r="K72" s="336"/>
      <c r="L72" s="336"/>
      <c r="M72" s="336"/>
      <c r="N72" s="336"/>
      <c r="O72" s="337"/>
    </row>
    <row r="73" spans="2:15" s="196" customFormat="1" ht="41.25" customHeight="1" x14ac:dyDescent="0.25">
      <c r="B73" s="347"/>
      <c r="C73" s="348"/>
      <c r="D73" s="334" t="s">
        <v>482</v>
      </c>
      <c r="E73" s="334"/>
      <c r="F73" s="336" t="s">
        <v>505</v>
      </c>
      <c r="G73" s="336"/>
      <c r="H73" s="336"/>
      <c r="I73" s="336"/>
      <c r="J73" s="336"/>
      <c r="K73" s="336"/>
      <c r="L73" s="336"/>
      <c r="M73" s="336"/>
      <c r="N73" s="336"/>
      <c r="O73" s="337"/>
    </row>
    <row r="74" spans="2:15" s="196" customFormat="1" ht="27.75" customHeight="1" thickBot="1" x14ac:dyDescent="0.3">
      <c r="B74" s="349"/>
      <c r="C74" s="350"/>
      <c r="D74" s="335" t="s">
        <v>476</v>
      </c>
      <c r="E74" s="335"/>
      <c r="F74" s="338" t="s">
        <v>477</v>
      </c>
      <c r="G74" s="338"/>
      <c r="H74" s="338"/>
      <c r="I74" s="338"/>
      <c r="J74" s="338"/>
      <c r="K74" s="338"/>
      <c r="L74" s="338"/>
      <c r="M74" s="338"/>
      <c r="N74" s="338"/>
      <c r="O74" s="339"/>
    </row>
    <row r="75" spans="2:15" s="196" customFormat="1" ht="25.5" customHeight="1" x14ac:dyDescent="0.25"/>
  </sheetData>
  <mergeCells count="37">
    <mergeCell ref="F73:O73"/>
    <mergeCell ref="D74:E74"/>
    <mergeCell ref="F74:O74"/>
    <mergeCell ref="D70:E70"/>
    <mergeCell ref="F70:O70"/>
    <mergeCell ref="D71:E71"/>
    <mergeCell ref="F71:O71"/>
    <mergeCell ref="D72:E72"/>
    <mergeCell ref="F72:O72"/>
    <mergeCell ref="D66:E66"/>
    <mergeCell ref="F66:O66"/>
    <mergeCell ref="B67:C74"/>
    <mergeCell ref="D67:E67"/>
    <mergeCell ref="F67:O67"/>
    <mergeCell ref="D68:E68"/>
    <mergeCell ref="F68:O68"/>
    <mergeCell ref="D69:E69"/>
    <mergeCell ref="F69:O69"/>
    <mergeCell ref="B61:C66"/>
    <mergeCell ref="D61:E61"/>
    <mergeCell ref="F61:O61"/>
    <mergeCell ref="D62:E62"/>
    <mergeCell ref="F62:O62"/>
    <mergeCell ref="D63:E63"/>
    <mergeCell ref="D73:E73"/>
    <mergeCell ref="F63:O63"/>
    <mergeCell ref="D64:E64"/>
    <mergeCell ref="F64:O64"/>
    <mergeCell ref="D65:E65"/>
    <mergeCell ref="B2:P2"/>
    <mergeCell ref="C6:H6"/>
    <mergeCell ref="I6:P6"/>
    <mergeCell ref="B57:C57"/>
    <mergeCell ref="D57:G57"/>
    <mergeCell ref="B58:C58"/>
    <mergeCell ref="D58:G58"/>
    <mergeCell ref="F65:O65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6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B1:R75"/>
  <sheetViews>
    <sheetView showGridLines="0" zoomScale="70" zoomScaleNormal="70" workbookViewId="0">
      <selection activeCell="R31" sqref="R31"/>
    </sheetView>
  </sheetViews>
  <sheetFormatPr defaultRowHeight="15" x14ac:dyDescent="0.25"/>
  <cols>
    <col min="1" max="1" width="5.7109375" style="179" customWidth="1"/>
    <col min="2" max="2" width="20" style="179" customWidth="1"/>
    <col min="3" max="3" width="10.28515625" style="179" customWidth="1"/>
    <col min="4" max="4" width="11.85546875" style="179" customWidth="1"/>
    <col min="5" max="5" width="13.42578125" style="179" customWidth="1"/>
    <col min="6" max="6" width="13.5703125" style="179" customWidth="1"/>
    <col min="7" max="7" width="12.140625" style="179" customWidth="1"/>
    <col min="8" max="8" width="15.7109375" style="179" customWidth="1"/>
    <col min="9" max="9" width="11.5703125" style="179" customWidth="1"/>
    <col min="10" max="10" width="13.28515625" style="179" customWidth="1"/>
    <col min="11" max="11" width="16.7109375" style="179" customWidth="1"/>
    <col min="12" max="12" width="12.7109375" style="179" customWidth="1"/>
    <col min="13" max="13" width="15.5703125" style="179" customWidth="1"/>
    <col min="14" max="14" width="14.85546875" style="179" customWidth="1"/>
    <col min="15" max="15" width="14.42578125" style="179" customWidth="1"/>
    <col min="16" max="16" width="14.85546875" style="179" customWidth="1"/>
    <col min="17" max="16384" width="9.140625" style="179"/>
  </cols>
  <sheetData>
    <row r="1" spans="2:18" ht="15.75" thickBot="1" x14ac:dyDescent="0.3"/>
    <row r="2" spans="2:18" s="1" customFormat="1" ht="40.5" customHeight="1" thickBot="1" x14ac:dyDescent="0.3">
      <c r="B2" s="400" t="s">
        <v>547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2"/>
      <c r="P2" s="179"/>
    </row>
    <row r="3" spans="2:18" ht="15.75" thickBot="1" x14ac:dyDescent="0.3"/>
    <row r="4" spans="2:18" ht="15.75" thickBot="1" x14ac:dyDescent="0.3">
      <c r="B4" s="198" t="s">
        <v>481</v>
      </c>
      <c r="C4" s="199">
        <f ca="1">TODAY()</f>
        <v>42001</v>
      </c>
      <c r="D4" s="197"/>
      <c r="E4" s="197"/>
      <c r="J4" s="27"/>
      <c r="K4" s="27"/>
      <c r="L4" s="27"/>
      <c r="M4" s="27"/>
      <c r="N4" s="27"/>
    </row>
    <row r="5" spans="2:18" ht="15.75" thickBot="1" x14ac:dyDescent="0.3">
      <c r="B5" s="120"/>
      <c r="C5" s="120"/>
      <c r="D5" s="120"/>
      <c r="E5" s="120"/>
      <c r="G5" s="27"/>
      <c r="H5" s="27"/>
      <c r="I5" s="27"/>
      <c r="J5" s="27"/>
      <c r="K5" s="27"/>
      <c r="L5" s="27"/>
      <c r="M5" s="27"/>
      <c r="N5" s="27"/>
    </row>
    <row r="6" spans="2:18" ht="24" thickBot="1" x14ac:dyDescent="0.4">
      <c r="B6" s="121"/>
      <c r="C6" s="365" t="s">
        <v>534</v>
      </c>
      <c r="D6" s="366"/>
      <c r="E6" s="366"/>
      <c r="F6" s="366"/>
      <c r="G6" s="366"/>
      <c r="H6" s="367"/>
      <c r="I6" s="365" t="s">
        <v>466</v>
      </c>
      <c r="J6" s="366"/>
      <c r="K6" s="366"/>
      <c r="L6" s="366"/>
      <c r="M6" s="366"/>
      <c r="N6" s="366"/>
      <c r="O6" s="367"/>
    </row>
    <row r="7" spans="2:18" ht="60" customHeight="1" thickBot="1" x14ac:dyDescent="0.3">
      <c r="B7" s="267"/>
      <c r="C7" s="203" t="s">
        <v>480</v>
      </c>
      <c r="D7" s="202" t="s">
        <v>23</v>
      </c>
      <c r="E7" s="255" t="s">
        <v>488</v>
      </c>
      <c r="F7" s="201" t="s">
        <v>462</v>
      </c>
      <c r="G7" s="201" t="s">
        <v>463</v>
      </c>
      <c r="H7" s="204" t="s">
        <v>464</v>
      </c>
      <c r="I7" s="202" t="s">
        <v>465</v>
      </c>
      <c r="J7" s="201" t="s">
        <v>472</v>
      </c>
      <c r="K7" s="201" t="s">
        <v>473</v>
      </c>
      <c r="L7" s="201" t="s">
        <v>474</v>
      </c>
      <c r="M7" s="201" t="s">
        <v>483</v>
      </c>
      <c r="N7" s="201" t="s">
        <v>482</v>
      </c>
      <c r="O7" s="204" t="s">
        <v>476</v>
      </c>
    </row>
    <row r="8" spans="2:18" x14ac:dyDescent="0.25">
      <c r="B8" s="268" t="s">
        <v>65</v>
      </c>
      <c r="C8" s="192"/>
      <c r="D8" s="193"/>
      <c r="E8" s="193"/>
      <c r="F8" s="193"/>
      <c r="G8" s="193"/>
      <c r="H8" s="221"/>
      <c r="I8" s="193"/>
      <c r="J8" s="193"/>
      <c r="K8" s="193"/>
      <c r="L8" s="193"/>
      <c r="M8" s="193"/>
      <c r="N8" s="193"/>
      <c r="O8" s="221"/>
      <c r="R8" s="258"/>
    </row>
    <row r="9" spans="2:18" x14ac:dyDescent="0.25">
      <c r="B9" s="269">
        <f>B13</f>
        <v>41994</v>
      </c>
      <c r="C9" s="254">
        <v>508</v>
      </c>
      <c r="D9" s="118">
        <v>122</v>
      </c>
      <c r="E9" s="118">
        <v>142</v>
      </c>
      <c r="F9" s="118">
        <v>290</v>
      </c>
      <c r="G9" s="118">
        <v>339</v>
      </c>
      <c r="H9" s="253">
        <v>253587</v>
      </c>
      <c r="I9" s="251">
        <v>230</v>
      </c>
      <c r="J9" s="118">
        <v>506</v>
      </c>
      <c r="K9" s="117">
        <v>2.2000000000000002</v>
      </c>
      <c r="L9" s="123">
        <v>0.31420700000000001</v>
      </c>
      <c r="M9" s="117">
        <v>87.359683000000004</v>
      </c>
      <c r="N9" s="123">
        <v>6.7193675889327995E-2</v>
      </c>
      <c r="O9" s="219">
        <v>0.11660079</v>
      </c>
    </row>
    <row r="10" spans="2:18" x14ac:dyDescent="0.25">
      <c r="B10" s="269">
        <f>B14</f>
        <v>41987</v>
      </c>
      <c r="C10" s="254">
        <v>378</v>
      </c>
      <c r="D10" s="118">
        <v>90</v>
      </c>
      <c r="E10" s="118">
        <v>132</v>
      </c>
      <c r="F10" s="118">
        <v>249</v>
      </c>
      <c r="G10" s="118">
        <v>397</v>
      </c>
      <c r="H10" s="253">
        <v>120084</v>
      </c>
      <c r="I10" s="251">
        <v>115</v>
      </c>
      <c r="J10" s="118">
        <v>311</v>
      </c>
      <c r="K10" s="117">
        <v>2.7043478260869498</v>
      </c>
      <c r="L10" s="123">
        <v>0.34200000000000003</v>
      </c>
      <c r="M10" s="117">
        <v>127.575</v>
      </c>
      <c r="N10" s="123">
        <v>0.118971061</v>
      </c>
      <c r="O10" s="219">
        <v>0.21221864900000001</v>
      </c>
    </row>
    <row r="11" spans="2:18" ht="15.75" thickBot="1" x14ac:dyDescent="0.3">
      <c r="B11" s="270">
        <f>B15</f>
        <v>41980</v>
      </c>
      <c r="C11" s="254">
        <v>291</v>
      </c>
      <c r="D11" s="118">
        <v>72</v>
      </c>
      <c r="E11" s="118">
        <v>50</v>
      </c>
      <c r="F11" s="118">
        <v>174</v>
      </c>
      <c r="G11" s="118">
        <v>194</v>
      </c>
      <c r="H11" s="253">
        <v>80272</v>
      </c>
      <c r="I11" s="251">
        <v>60</v>
      </c>
      <c r="J11" s="118">
        <v>134</v>
      </c>
      <c r="K11" s="119">
        <v>2.2333333333333298</v>
      </c>
      <c r="L11" s="124">
        <v>0.20799999999999999</v>
      </c>
      <c r="M11" s="119">
        <v>108.932</v>
      </c>
      <c r="N11" s="124">
        <v>0.17910447760000001</v>
      </c>
      <c r="O11" s="220">
        <v>0.22388059699999999</v>
      </c>
    </row>
    <row r="12" spans="2:18" x14ac:dyDescent="0.25">
      <c r="B12" s="271" t="s">
        <v>468</v>
      </c>
      <c r="C12" s="194"/>
      <c r="D12" s="195"/>
      <c r="E12" s="195"/>
      <c r="F12" s="195"/>
      <c r="G12" s="195"/>
      <c r="H12" s="218"/>
      <c r="I12" s="195"/>
      <c r="J12" s="195"/>
      <c r="K12" s="195"/>
      <c r="L12" s="195"/>
      <c r="M12" s="195"/>
      <c r="N12" s="195"/>
      <c r="O12" s="218"/>
    </row>
    <row r="13" spans="2:18" x14ac:dyDescent="0.25">
      <c r="B13" s="269">
        <v>41994</v>
      </c>
      <c r="C13" s="252">
        <v>13</v>
      </c>
      <c r="D13" s="116">
        <v>1</v>
      </c>
      <c r="E13" s="116">
        <v>4</v>
      </c>
      <c r="F13" s="154">
        <v>26</v>
      </c>
      <c r="G13" s="154">
        <v>55</v>
      </c>
      <c r="H13" s="253">
        <v>115448</v>
      </c>
      <c r="I13" s="248">
        <v>88</v>
      </c>
      <c r="J13" s="116">
        <v>197</v>
      </c>
      <c r="K13" s="117">
        <v>2.2386363636363602</v>
      </c>
      <c r="L13" s="123">
        <v>0.2536023</v>
      </c>
      <c r="M13" s="170">
        <v>95.116751199999996</v>
      </c>
      <c r="N13" s="171">
        <v>4.5685200000000002E-2</v>
      </c>
      <c r="O13" s="219">
        <v>5.5837563399999998E-2</v>
      </c>
    </row>
    <row r="14" spans="2:18" x14ac:dyDescent="0.25">
      <c r="B14" s="269">
        <v>41987</v>
      </c>
      <c r="C14" s="252">
        <v>62</v>
      </c>
      <c r="D14" s="116">
        <v>17</v>
      </c>
      <c r="E14" s="116">
        <v>21</v>
      </c>
      <c r="F14" s="154">
        <v>52</v>
      </c>
      <c r="G14" s="154">
        <v>39</v>
      </c>
      <c r="H14" s="253">
        <v>11732</v>
      </c>
      <c r="I14" s="248">
        <v>10</v>
      </c>
      <c r="J14" s="200">
        <v>26</v>
      </c>
      <c r="K14" s="117">
        <v>2.6</v>
      </c>
      <c r="L14" s="123">
        <v>0.37037029999999999</v>
      </c>
      <c r="M14" s="170">
        <v>124.76922999999999</v>
      </c>
      <c r="N14" s="171">
        <v>0</v>
      </c>
      <c r="O14" s="219">
        <v>3.8461500000000003E-2</v>
      </c>
    </row>
    <row r="15" spans="2:18" ht="15.75" thickBot="1" x14ac:dyDescent="0.3">
      <c r="B15" s="269">
        <v>41980</v>
      </c>
      <c r="C15" s="252">
        <v>24</v>
      </c>
      <c r="D15" s="116">
        <v>4</v>
      </c>
      <c r="E15" s="116">
        <v>9</v>
      </c>
      <c r="F15" s="154">
        <v>11</v>
      </c>
      <c r="G15" s="154">
        <v>15</v>
      </c>
      <c r="H15" s="253">
        <v>4788</v>
      </c>
      <c r="I15" s="249">
        <v>8</v>
      </c>
      <c r="J15" s="122">
        <v>16</v>
      </c>
      <c r="K15" s="119">
        <v>2</v>
      </c>
      <c r="L15" s="124">
        <v>0.47058823500000002</v>
      </c>
      <c r="M15" s="172">
        <v>135.37</v>
      </c>
      <c r="N15" s="173">
        <v>3.7499999999999999E-2</v>
      </c>
      <c r="O15" s="220">
        <v>3.7499999999999999E-2</v>
      </c>
    </row>
    <row r="16" spans="2:18" x14ac:dyDescent="0.25">
      <c r="B16" s="271" t="s">
        <v>536</v>
      </c>
      <c r="C16" s="194"/>
      <c r="D16" s="195"/>
      <c r="E16" s="195"/>
      <c r="F16" s="195"/>
      <c r="G16" s="195"/>
      <c r="H16" s="218"/>
      <c r="I16" s="195"/>
      <c r="J16" s="195"/>
      <c r="K16" s="195"/>
      <c r="L16" s="195"/>
      <c r="M16" s="195"/>
      <c r="N16" s="195"/>
      <c r="O16" s="218"/>
      <c r="Q16" s="258"/>
      <c r="R16" s="258"/>
    </row>
    <row r="17" spans="2:18" x14ac:dyDescent="0.25">
      <c r="B17" s="269">
        <v>41994</v>
      </c>
      <c r="C17" s="252">
        <v>27</v>
      </c>
      <c r="D17" s="116">
        <v>3</v>
      </c>
      <c r="E17" s="116">
        <v>19</v>
      </c>
      <c r="F17" s="116">
        <v>16</v>
      </c>
      <c r="G17" s="116">
        <v>43</v>
      </c>
      <c r="H17" s="253">
        <v>8729</v>
      </c>
      <c r="I17" s="248">
        <v>35</v>
      </c>
      <c r="J17" s="116">
        <v>87</v>
      </c>
      <c r="K17" s="117">
        <v>2.4857142857142858</v>
      </c>
      <c r="L17" s="123">
        <v>0.660377358490566</v>
      </c>
      <c r="M17" s="117">
        <v>148.31034482758622</v>
      </c>
      <c r="N17" s="123">
        <v>0.11504424778761062</v>
      </c>
      <c r="O17" s="219">
        <v>0.11504424778761062</v>
      </c>
    </row>
    <row r="18" spans="2:18" x14ac:dyDescent="0.25">
      <c r="B18" s="269">
        <v>41987</v>
      </c>
      <c r="C18" s="252">
        <v>47</v>
      </c>
      <c r="D18" s="116">
        <v>6</v>
      </c>
      <c r="E18" s="116">
        <v>7</v>
      </c>
      <c r="F18" s="116">
        <v>18</v>
      </c>
      <c r="G18" s="116">
        <v>10</v>
      </c>
      <c r="H18" s="253">
        <v>2461</v>
      </c>
      <c r="I18" s="248">
        <v>6</v>
      </c>
      <c r="J18" s="116">
        <v>22</v>
      </c>
      <c r="K18" s="117">
        <v>3.6666666666666665</v>
      </c>
      <c r="L18" s="123">
        <v>0.23076923076923078</v>
      </c>
      <c r="M18" s="117">
        <v>118</v>
      </c>
      <c r="N18" s="123">
        <v>6.4516129032258063E-2</v>
      </c>
      <c r="O18" s="219">
        <v>0.22580645161290322</v>
      </c>
    </row>
    <row r="19" spans="2:18" ht="15.75" thickBot="1" x14ac:dyDescent="0.3">
      <c r="B19" s="269">
        <v>41980</v>
      </c>
      <c r="C19" s="259">
        <v>33</v>
      </c>
      <c r="D19" s="122">
        <v>11</v>
      </c>
      <c r="E19" s="122">
        <v>11</v>
      </c>
      <c r="F19" s="122">
        <v>26</v>
      </c>
      <c r="G19" s="122">
        <v>19</v>
      </c>
      <c r="H19" s="256">
        <v>9193</v>
      </c>
      <c r="I19" s="249">
        <v>10</v>
      </c>
      <c r="J19" s="122">
        <v>25</v>
      </c>
      <c r="K19" s="119">
        <v>2.5</v>
      </c>
      <c r="L19" s="124">
        <v>0.38461538461538464</v>
      </c>
      <c r="M19" s="119">
        <v>126.68</v>
      </c>
      <c r="N19" s="124">
        <v>9.0909090909090912E-2</v>
      </c>
      <c r="O19" s="220">
        <v>0.15151515151515152</v>
      </c>
    </row>
    <row r="20" spans="2:18" x14ac:dyDescent="0.25">
      <c r="B20" s="271" t="s">
        <v>18</v>
      </c>
      <c r="C20" s="194"/>
      <c r="D20" s="195"/>
      <c r="E20" s="195"/>
      <c r="F20" s="195"/>
      <c r="G20" s="195"/>
      <c r="H20" s="218"/>
      <c r="I20" s="195"/>
      <c r="J20" s="195"/>
      <c r="K20" s="195"/>
      <c r="L20" s="195"/>
      <c r="M20" s="195"/>
      <c r="N20" s="195"/>
      <c r="O20" s="218"/>
    </row>
    <row r="21" spans="2:18" x14ac:dyDescent="0.25">
      <c r="B21" s="269">
        <v>41994</v>
      </c>
      <c r="C21" s="252">
        <v>94</v>
      </c>
      <c r="D21" s="116">
        <v>22</v>
      </c>
      <c r="E21" s="116">
        <v>38</v>
      </c>
      <c r="F21" s="116">
        <v>78</v>
      </c>
      <c r="G21" s="116">
        <v>128</v>
      </c>
      <c r="H21" s="253">
        <v>39211</v>
      </c>
      <c r="I21" s="248">
        <v>30</v>
      </c>
      <c r="J21" s="116">
        <v>73</v>
      </c>
      <c r="K21" s="117">
        <v>2.43333333333333</v>
      </c>
      <c r="L21" s="123">
        <v>0.3225806</v>
      </c>
      <c r="M21" s="117">
        <v>111.28767000000001</v>
      </c>
      <c r="N21" s="123">
        <v>0.24657534</v>
      </c>
      <c r="O21" s="219">
        <v>0.50684931499999997</v>
      </c>
    </row>
    <row r="22" spans="2:18" x14ac:dyDescent="0.25">
      <c r="B22" s="269">
        <v>41987</v>
      </c>
      <c r="C22" s="252">
        <v>83</v>
      </c>
      <c r="D22" s="116">
        <v>23</v>
      </c>
      <c r="E22" s="116">
        <v>72</v>
      </c>
      <c r="F22" s="116">
        <v>90</v>
      </c>
      <c r="G22" s="116">
        <v>223</v>
      </c>
      <c r="H22" s="253">
        <v>49557</v>
      </c>
      <c r="I22" s="248">
        <v>63</v>
      </c>
      <c r="J22" s="116">
        <v>173</v>
      </c>
      <c r="K22" s="117">
        <v>2.7460317460317398</v>
      </c>
      <c r="L22" s="123">
        <v>0.52500000000000002</v>
      </c>
      <c r="M22" s="117">
        <v>124.20229999999999</v>
      </c>
      <c r="N22" s="123">
        <v>0.15028901729999999</v>
      </c>
      <c r="O22" s="219">
        <v>0.30057803399999999</v>
      </c>
    </row>
    <row r="23" spans="2:18" ht="15.75" thickBot="1" x14ac:dyDescent="0.3">
      <c r="B23" s="269">
        <v>41980</v>
      </c>
      <c r="C23" s="252">
        <v>30</v>
      </c>
      <c r="D23" s="116">
        <v>6</v>
      </c>
      <c r="E23" s="116">
        <v>13</v>
      </c>
      <c r="F23" s="116">
        <v>39</v>
      </c>
      <c r="G23" s="116">
        <v>35</v>
      </c>
      <c r="H23" s="253">
        <v>39813</v>
      </c>
      <c r="I23" s="248">
        <v>18</v>
      </c>
      <c r="J23" s="116">
        <v>40</v>
      </c>
      <c r="K23" s="119">
        <v>2.2222222222222201</v>
      </c>
      <c r="L23" s="124">
        <v>0.23076923069999999</v>
      </c>
      <c r="M23" s="119">
        <v>149.02500000000001</v>
      </c>
      <c r="N23" s="124">
        <v>0.22500000000000001</v>
      </c>
      <c r="O23" s="220">
        <v>0.27500000000000002</v>
      </c>
    </row>
    <row r="24" spans="2:18" x14ac:dyDescent="0.25">
      <c r="B24" s="272" t="s">
        <v>542</v>
      </c>
      <c r="C24" s="194"/>
      <c r="D24" s="195"/>
      <c r="E24" s="195"/>
      <c r="F24" s="195"/>
      <c r="G24" s="195"/>
      <c r="H24" s="218"/>
      <c r="I24" s="195"/>
      <c r="J24" s="195"/>
      <c r="K24" s="195"/>
      <c r="L24" s="195"/>
      <c r="M24" s="195"/>
      <c r="N24" s="195"/>
      <c r="O24" s="218"/>
      <c r="Q24" s="258"/>
      <c r="R24" s="258"/>
    </row>
    <row r="25" spans="2:18" x14ac:dyDescent="0.25">
      <c r="B25" s="269">
        <v>41994</v>
      </c>
      <c r="C25" s="252">
        <v>62</v>
      </c>
      <c r="D25" s="116">
        <v>11</v>
      </c>
      <c r="E25" s="116">
        <v>9</v>
      </c>
      <c r="F25" s="116">
        <v>49</v>
      </c>
      <c r="G25" s="116">
        <v>39</v>
      </c>
      <c r="H25" s="253">
        <v>14293</v>
      </c>
      <c r="I25" s="250">
        <v>22</v>
      </c>
      <c r="J25" s="154">
        <v>40</v>
      </c>
      <c r="K25" s="117">
        <v>1.8181818181818099</v>
      </c>
      <c r="L25" s="123">
        <v>0.3928571428</v>
      </c>
      <c r="M25" s="117">
        <v>189.5</v>
      </c>
      <c r="N25" s="123">
        <v>0.125</v>
      </c>
      <c r="O25" s="219">
        <v>0.125</v>
      </c>
    </row>
    <row r="26" spans="2:18" x14ac:dyDescent="0.25">
      <c r="B26" s="269">
        <v>41987</v>
      </c>
      <c r="C26" s="252">
        <v>49</v>
      </c>
      <c r="D26" s="116">
        <v>12</v>
      </c>
      <c r="E26" s="116">
        <v>8</v>
      </c>
      <c r="F26" s="116">
        <v>36</v>
      </c>
      <c r="G26" s="116">
        <v>78</v>
      </c>
      <c r="H26" s="253">
        <v>12473</v>
      </c>
      <c r="I26" s="248">
        <v>14</v>
      </c>
      <c r="J26" s="116">
        <v>30</v>
      </c>
      <c r="K26" s="117">
        <v>2.1428571428571401</v>
      </c>
      <c r="L26" s="123">
        <v>0.20588235290000001</v>
      </c>
      <c r="M26" s="117">
        <v>92.933333333299998</v>
      </c>
      <c r="N26" s="171">
        <v>0.2</v>
      </c>
      <c r="O26" s="219">
        <v>0.2</v>
      </c>
    </row>
    <row r="27" spans="2:18" ht="15.75" thickBot="1" x14ac:dyDescent="0.3">
      <c r="B27" s="269">
        <v>41980</v>
      </c>
      <c r="C27" s="252">
        <v>70</v>
      </c>
      <c r="D27" s="116">
        <v>39</v>
      </c>
      <c r="E27" s="116">
        <v>10</v>
      </c>
      <c r="F27" s="116">
        <v>82</v>
      </c>
      <c r="G27" s="116">
        <v>17</v>
      </c>
      <c r="H27" s="253">
        <v>16716</v>
      </c>
      <c r="I27" s="249">
        <v>10</v>
      </c>
      <c r="J27" s="122">
        <v>13</v>
      </c>
      <c r="K27" s="119">
        <v>1.3</v>
      </c>
      <c r="L27" s="124">
        <v>0.11764705</v>
      </c>
      <c r="M27" s="119">
        <v>67.538461538000007</v>
      </c>
      <c r="N27" s="124">
        <v>0.3846153846</v>
      </c>
      <c r="O27" s="220">
        <v>0.38461538461</v>
      </c>
    </row>
    <row r="28" spans="2:18" x14ac:dyDescent="0.25">
      <c r="B28" s="272" t="s">
        <v>19</v>
      </c>
      <c r="C28" s="194"/>
      <c r="D28" s="195"/>
      <c r="E28" s="195"/>
      <c r="F28" s="195"/>
      <c r="G28" s="195"/>
      <c r="H28" s="218"/>
      <c r="I28" s="195"/>
      <c r="J28" s="195"/>
      <c r="K28" s="195"/>
      <c r="L28" s="195"/>
      <c r="M28" s="195"/>
      <c r="N28" s="195"/>
      <c r="O28" s="218"/>
    </row>
    <row r="29" spans="2:18" x14ac:dyDescent="0.25">
      <c r="B29" s="269">
        <v>41994</v>
      </c>
      <c r="C29" s="252">
        <v>37</v>
      </c>
      <c r="D29" s="116">
        <v>9</v>
      </c>
      <c r="E29" s="116">
        <v>11</v>
      </c>
      <c r="F29" s="116">
        <v>20</v>
      </c>
      <c r="G29" s="116">
        <v>35</v>
      </c>
      <c r="H29" s="253">
        <v>23774</v>
      </c>
      <c r="I29" s="248">
        <v>11</v>
      </c>
      <c r="J29" s="116">
        <v>32</v>
      </c>
      <c r="K29" s="117">
        <v>2.9090909090908998</v>
      </c>
      <c r="L29" s="123">
        <v>0.34375</v>
      </c>
      <c r="M29" s="117">
        <v>168.96870000000001</v>
      </c>
      <c r="N29" s="123">
        <v>3.125E-2</v>
      </c>
      <c r="O29" s="219">
        <v>3.125E-2</v>
      </c>
    </row>
    <row r="30" spans="2:18" x14ac:dyDescent="0.25">
      <c r="B30" s="269">
        <v>41987</v>
      </c>
      <c r="C30" s="252">
        <v>35</v>
      </c>
      <c r="D30" s="116">
        <v>10</v>
      </c>
      <c r="E30" s="116">
        <v>6</v>
      </c>
      <c r="F30" s="116">
        <v>14</v>
      </c>
      <c r="G30" s="116">
        <v>10</v>
      </c>
      <c r="H30" s="253">
        <v>13374</v>
      </c>
      <c r="I30" s="248">
        <v>6</v>
      </c>
      <c r="J30" s="116">
        <v>24</v>
      </c>
      <c r="K30" s="117">
        <v>4</v>
      </c>
      <c r="L30" s="123">
        <v>0.35294117647000001</v>
      </c>
      <c r="M30" s="117">
        <v>285.91666665999998</v>
      </c>
      <c r="N30" s="123">
        <v>0</v>
      </c>
      <c r="O30" s="219">
        <v>0</v>
      </c>
    </row>
    <row r="31" spans="2:18" ht="16.5" customHeight="1" thickBot="1" x14ac:dyDescent="0.3">
      <c r="B31" s="269">
        <v>41980</v>
      </c>
      <c r="C31" s="252">
        <v>34</v>
      </c>
      <c r="D31" s="116">
        <v>3</v>
      </c>
      <c r="E31" s="116">
        <v>3</v>
      </c>
      <c r="F31" s="116">
        <v>2</v>
      </c>
      <c r="G31" s="116">
        <v>2</v>
      </c>
      <c r="H31" s="253">
        <v>4339</v>
      </c>
      <c r="I31" s="249">
        <v>4</v>
      </c>
      <c r="J31" s="122">
        <v>10</v>
      </c>
      <c r="K31" s="119">
        <v>2.5</v>
      </c>
      <c r="L31" s="124">
        <v>0.33333333300000001</v>
      </c>
      <c r="M31" s="119">
        <v>138.30000000000001</v>
      </c>
      <c r="N31" s="124">
        <v>0</v>
      </c>
      <c r="O31" s="220">
        <v>0</v>
      </c>
    </row>
    <row r="32" spans="2:18" x14ac:dyDescent="0.25">
      <c r="B32" s="272" t="s">
        <v>486</v>
      </c>
      <c r="C32" s="194"/>
      <c r="D32" s="195"/>
      <c r="E32" s="195"/>
      <c r="F32" s="195"/>
      <c r="G32" s="195"/>
      <c r="H32" s="218"/>
      <c r="I32" s="195"/>
      <c r="J32" s="195"/>
      <c r="K32" s="195"/>
      <c r="L32" s="195"/>
      <c r="M32" s="195"/>
      <c r="N32" s="195"/>
      <c r="O32" s="218"/>
    </row>
    <row r="33" spans="2:15" x14ac:dyDescent="0.25">
      <c r="B33" s="269">
        <v>41994</v>
      </c>
      <c r="C33" s="252">
        <v>17</v>
      </c>
      <c r="D33" s="116">
        <v>5</v>
      </c>
      <c r="E33" s="116">
        <v>1</v>
      </c>
      <c r="F33" s="116">
        <v>9</v>
      </c>
      <c r="G33" s="116">
        <v>2</v>
      </c>
      <c r="H33" s="253">
        <v>10182</v>
      </c>
      <c r="I33" s="248">
        <v>6</v>
      </c>
      <c r="J33" s="116">
        <v>14</v>
      </c>
      <c r="K33" s="117">
        <v>2.3333333333333299</v>
      </c>
      <c r="L33" s="123">
        <v>0.5</v>
      </c>
      <c r="M33" s="117">
        <v>2.4878571427999998</v>
      </c>
      <c r="N33" s="123">
        <v>0</v>
      </c>
      <c r="O33" s="219">
        <v>7.1428571428571395E+20</v>
      </c>
    </row>
    <row r="34" spans="2:15" ht="16.5" customHeight="1" x14ac:dyDescent="0.25">
      <c r="B34" s="269">
        <v>41987</v>
      </c>
      <c r="C34" s="252">
        <v>10</v>
      </c>
      <c r="D34" s="116">
        <v>2</v>
      </c>
      <c r="E34" s="116">
        <v>1</v>
      </c>
      <c r="F34" s="116">
        <v>5</v>
      </c>
      <c r="G34" s="116"/>
      <c r="H34" s="253">
        <v>286</v>
      </c>
      <c r="I34" s="248">
        <v>0</v>
      </c>
      <c r="J34" s="116">
        <v>0</v>
      </c>
      <c r="K34" s="117">
        <v>0</v>
      </c>
      <c r="L34" s="123">
        <v>0</v>
      </c>
      <c r="M34" s="117">
        <v>0</v>
      </c>
      <c r="N34" s="123">
        <v>0</v>
      </c>
      <c r="O34" s="219"/>
    </row>
    <row r="35" spans="2:15" ht="15.75" thickBot="1" x14ac:dyDescent="0.3">
      <c r="B35" s="269">
        <v>41980</v>
      </c>
      <c r="C35" s="252">
        <v>3</v>
      </c>
      <c r="D35" s="116">
        <v>0</v>
      </c>
      <c r="E35" s="116">
        <v>1</v>
      </c>
      <c r="F35" s="116">
        <v>2</v>
      </c>
      <c r="G35" s="116">
        <v>5</v>
      </c>
      <c r="H35" s="253">
        <v>2514</v>
      </c>
      <c r="I35" s="248">
        <v>5</v>
      </c>
      <c r="J35" s="116">
        <v>18</v>
      </c>
      <c r="K35" s="119">
        <v>3.6</v>
      </c>
      <c r="L35" s="123">
        <v>7.1428570999999996E-2</v>
      </c>
      <c r="M35" s="117">
        <v>1.27666666666666E+22</v>
      </c>
      <c r="N35" s="123">
        <v>0</v>
      </c>
      <c r="O35" s="219">
        <v>2.2222222222222201E+21</v>
      </c>
    </row>
    <row r="36" spans="2:15" x14ac:dyDescent="0.25">
      <c r="B36" s="272" t="s">
        <v>537</v>
      </c>
      <c r="C36" s="194"/>
      <c r="D36" s="195"/>
      <c r="E36" s="195"/>
      <c r="F36" s="195"/>
      <c r="G36" s="195"/>
      <c r="H36" s="218"/>
      <c r="I36" s="195"/>
      <c r="J36" s="195"/>
      <c r="K36" s="195"/>
      <c r="L36" s="195"/>
      <c r="M36" s="195"/>
      <c r="N36" s="195"/>
      <c r="O36" s="218"/>
    </row>
    <row r="37" spans="2:15" x14ac:dyDescent="0.25">
      <c r="B37" s="269">
        <v>41994</v>
      </c>
      <c r="C37" s="252">
        <v>19</v>
      </c>
      <c r="D37" s="116">
        <v>2</v>
      </c>
      <c r="E37" s="116">
        <v>0</v>
      </c>
      <c r="F37" s="116">
        <v>5</v>
      </c>
      <c r="G37" s="116">
        <v>0</v>
      </c>
      <c r="H37" s="253">
        <v>855</v>
      </c>
      <c r="I37" s="248">
        <v>6</v>
      </c>
      <c r="J37" s="116">
        <v>8</v>
      </c>
      <c r="K37" s="117">
        <v>1.3333333333333333</v>
      </c>
      <c r="L37" s="123">
        <v>0.22222222222222221</v>
      </c>
      <c r="M37" s="117">
        <v>6.375</v>
      </c>
      <c r="N37" s="123">
        <v>0</v>
      </c>
      <c r="O37" s="219">
        <v>0.1111111111111111</v>
      </c>
    </row>
    <row r="38" spans="2:15" x14ac:dyDescent="0.25">
      <c r="B38" s="269">
        <v>41987</v>
      </c>
      <c r="C38" s="252">
        <v>17</v>
      </c>
      <c r="D38" s="116">
        <v>2</v>
      </c>
      <c r="E38" s="116">
        <v>1</v>
      </c>
      <c r="F38" s="116">
        <v>4</v>
      </c>
      <c r="G38" s="116">
        <v>32</v>
      </c>
      <c r="H38" s="253">
        <v>2779</v>
      </c>
      <c r="I38" s="248">
        <v>1</v>
      </c>
      <c r="J38" s="116">
        <v>1</v>
      </c>
      <c r="K38" s="117">
        <v>1</v>
      </c>
      <c r="L38" s="123">
        <v>5.8823529411764705E-2</v>
      </c>
      <c r="M38" s="117">
        <v>49</v>
      </c>
      <c r="N38" s="123">
        <v>0</v>
      </c>
      <c r="O38" s="219">
        <v>0</v>
      </c>
    </row>
    <row r="39" spans="2:15" ht="15.75" thickBot="1" x14ac:dyDescent="0.3">
      <c r="B39" s="269">
        <v>41980</v>
      </c>
      <c r="C39" s="252">
        <v>22</v>
      </c>
      <c r="D39" s="116">
        <v>2</v>
      </c>
      <c r="E39" s="116">
        <v>0</v>
      </c>
      <c r="F39" s="116">
        <v>4</v>
      </c>
      <c r="G39" s="116">
        <v>0</v>
      </c>
      <c r="H39" s="253">
        <v>813</v>
      </c>
      <c r="I39" s="248">
        <v>2</v>
      </c>
      <c r="J39" s="116">
        <v>2</v>
      </c>
      <c r="K39" s="119">
        <v>1</v>
      </c>
      <c r="L39" s="123">
        <v>0.22222222222222221</v>
      </c>
      <c r="M39" s="117">
        <v>55</v>
      </c>
      <c r="N39" s="123">
        <v>0</v>
      </c>
      <c r="O39" s="219">
        <v>0.5</v>
      </c>
    </row>
    <row r="40" spans="2:15" x14ac:dyDescent="0.25">
      <c r="B40" s="272" t="s">
        <v>546</v>
      </c>
      <c r="C40" s="194"/>
      <c r="D40" s="195"/>
      <c r="E40" s="195"/>
      <c r="F40" s="195"/>
      <c r="G40" s="195"/>
      <c r="H40" s="218"/>
      <c r="I40" s="195"/>
      <c r="J40" s="195"/>
      <c r="K40" s="195"/>
      <c r="L40" s="195"/>
      <c r="M40" s="195"/>
      <c r="N40" s="195"/>
      <c r="O40" s="218"/>
    </row>
    <row r="41" spans="2:15" x14ac:dyDescent="0.25">
      <c r="B41" s="269">
        <v>41994</v>
      </c>
      <c r="C41" s="252">
        <v>38</v>
      </c>
      <c r="D41" s="116">
        <v>7</v>
      </c>
      <c r="E41" s="116">
        <v>4</v>
      </c>
      <c r="F41" s="116">
        <v>15</v>
      </c>
      <c r="G41" s="116">
        <v>6</v>
      </c>
      <c r="H41" s="253">
        <v>24864</v>
      </c>
      <c r="I41" s="248">
        <v>4</v>
      </c>
      <c r="J41" s="116">
        <v>7</v>
      </c>
      <c r="K41" s="117">
        <v>1.75</v>
      </c>
      <c r="L41" s="123">
        <v>0.30769230769230771</v>
      </c>
      <c r="M41" s="117">
        <v>796.57142857142856</v>
      </c>
      <c r="N41" s="123">
        <v>0.30769230769230771</v>
      </c>
      <c r="O41" s="219">
        <v>7.6923076923076927E-2</v>
      </c>
    </row>
    <row r="42" spans="2:15" x14ac:dyDescent="0.25">
      <c r="B42" s="269">
        <v>41987</v>
      </c>
      <c r="C42" s="252">
        <v>53</v>
      </c>
      <c r="D42" s="116">
        <v>3</v>
      </c>
      <c r="E42" s="116">
        <v>1</v>
      </c>
      <c r="F42" s="116">
        <v>11</v>
      </c>
      <c r="G42" s="116">
        <v>1</v>
      </c>
      <c r="H42" s="253">
        <v>5573</v>
      </c>
      <c r="I42" s="248">
        <v>2</v>
      </c>
      <c r="J42" s="116">
        <v>4</v>
      </c>
      <c r="K42" s="117">
        <v>2</v>
      </c>
      <c r="L42" s="123">
        <v>0.15384615384615385</v>
      </c>
      <c r="M42" s="117">
        <v>325</v>
      </c>
      <c r="N42" s="123">
        <v>0</v>
      </c>
      <c r="O42" s="219">
        <v>0</v>
      </c>
    </row>
    <row r="43" spans="2:15" ht="15.75" thickBot="1" x14ac:dyDescent="0.3">
      <c r="B43" s="269">
        <v>41980</v>
      </c>
      <c r="C43" s="252">
        <v>26</v>
      </c>
      <c r="D43" s="116">
        <v>0</v>
      </c>
      <c r="E43" s="116">
        <v>0</v>
      </c>
      <c r="F43" s="116">
        <v>4</v>
      </c>
      <c r="G43" s="116">
        <v>1</v>
      </c>
      <c r="H43" s="253">
        <v>2135</v>
      </c>
      <c r="I43" s="248">
        <v>2</v>
      </c>
      <c r="J43" s="116">
        <v>4</v>
      </c>
      <c r="K43" s="119">
        <v>2</v>
      </c>
      <c r="L43" s="123">
        <v>0.16666666666666666</v>
      </c>
      <c r="M43" s="117">
        <v>227</v>
      </c>
      <c r="N43" s="123">
        <v>0</v>
      </c>
      <c r="O43" s="219">
        <v>0.42857142857142855</v>
      </c>
    </row>
    <row r="44" spans="2:15" x14ac:dyDescent="0.25">
      <c r="B44" s="272" t="s">
        <v>549</v>
      </c>
      <c r="C44" s="194"/>
      <c r="D44" s="195"/>
      <c r="E44" s="195"/>
      <c r="F44" s="195"/>
      <c r="G44" s="195"/>
      <c r="H44" s="218"/>
      <c r="I44" s="195"/>
      <c r="J44" s="195"/>
      <c r="K44" s="195"/>
      <c r="L44" s="195"/>
      <c r="M44" s="195"/>
      <c r="N44" s="195"/>
      <c r="O44" s="218"/>
    </row>
    <row r="45" spans="2:15" x14ac:dyDescent="0.25">
      <c r="B45" s="269">
        <v>41994</v>
      </c>
      <c r="C45" s="252">
        <v>19</v>
      </c>
      <c r="D45" s="116">
        <v>2</v>
      </c>
      <c r="E45" s="116">
        <v>2</v>
      </c>
      <c r="F45" s="116">
        <v>5</v>
      </c>
      <c r="G45" s="116">
        <v>2</v>
      </c>
      <c r="H45" s="253">
        <v>1587</v>
      </c>
      <c r="I45" s="248">
        <v>1</v>
      </c>
      <c r="J45" s="116">
        <v>1</v>
      </c>
      <c r="K45" s="117">
        <v>1</v>
      </c>
      <c r="L45" s="123">
        <v>6.25E-2</v>
      </c>
      <c r="M45" s="117">
        <v>13</v>
      </c>
      <c r="N45" s="123">
        <v>0</v>
      </c>
      <c r="O45" s="219">
        <v>0.66666666666666663</v>
      </c>
    </row>
    <row r="46" spans="2:15" x14ac:dyDescent="0.25">
      <c r="B46" s="269">
        <v>41987</v>
      </c>
      <c r="C46" s="252">
        <v>16</v>
      </c>
      <c r="D46" s="116">
        <v>4</v>
      </c>
      <c r="E46" s="116">
        <v>2</v>
      </c>
      <c r="F46" s="116">
        <v>5</v>
      </c>
      <c r="G46" s="116">
        <v>5</v>
      </c>
      <c r="H46" s="253">
        <v>6350</v>
      </c>
      <c r="I46" s="248">
        <v>2</v>
      </c>
      <c r="J46" s="116">
        <v>5</v>
      </c>
      <c r="K46" s="117">
        <v>2.5</v>
      </c>
      <c r="L46" s="123">
        <v>0.18181818181818182</v>
      </c>
      <c r="M46" s="117">
        <v>356.4</v>
      </c>
      <c r="N46" s="123">
        <v>0</v>
      </c>
      <c r="O46" s="219">
        <v>0</v>
      </c>
    </row>
    <row r="47" spans="2:15" ht="15.75" thickBot="1" x14ac:dyDescent="0.3">
      <c r="B47" s="269">
        <v>41980</v>
      </c>
      <c r="C47" s="259">
        <v>0</v>
      </c>
      <c r="D47" s="122">
        <v>0</v>
      </c>
      <c r="E47" s="122">
        <v>0</v>
      </c>
      <c r="F47" s="122">
        <v>0</v>
      </c>
      <c r="G47" s="122">
        <v>0</v>
      </c>
      <c r="H47" s="256">
        <v>0</v>
      </c>
      <c r="I47" s="249">
        <v>0</v>
      </c>
      <c r="J47" s="122">
        <v>0</v>
      </c>
      <c r="K47" s="119">
        <v>0</v>
      </c>
      <c r="L47" s="124">
        <v>0</v>
      </c>
      <c r="M47" s="119">
        <v>0</v>
      </c>
      <c r="N47" s="124">
        <v>0</v>
      </c>
      <c r="O47" s="220">
        <v>0</v>
      </c>
    </row>
    <row r="48" spans="2:15" x14ac:dyDescent="0.25">
      <c r="B48" s="272" t="s">
        <v>486</v>
      </c>
      <c r="C48" s="194"/>
      <c r="D48" s="195"/>
      <c r="E48" s="195"/>
      <c r="F48" s="195"/>
      <c r="G48" s="195"/>
      <c r="H48" s="218"/>
      <c r="I48" s="195"/>
      <c r="J48" s="195"/>
      <c r="K48" s="195"/>
      <c r="L48" s="195"/>
      <c r="M48" s="195"/>
      <c r="N48" s="195"/>
      <c r="O48" s="218"/>
    </row>
    <row r="49" spans="2:15" x14ac:dyDescent="0.25">
      <c r="B49" s="269">
        <v>41994</v>
      </c>
      <c r="C49" s="252">
        <v>4</v>
      </c>
      <c r="D49" s="116">
        <v>0</v>
      </c>
      <c r="E49" s="116">
        <v>0</v>
      </c>
      <c r="F49" s="116">
        <v>2</v>
      </c>
      <c r="G49" s="116">
        <v>0</v>
      </c>
      <c r="H49" s="253">
        <v>339</v>
      </c>
      <c r="I49" s="248">
        <v>1</v>
      </c>
      <c r="J49" s="116">
        <v>1</v>
      </c>
      <c r="K49" s="117">
        <v>1</v>
      </c>
      <c r="L49" s="123">
        <v>8.3333333333333329E-2</v>
      </c>
      <c r="M49" s="117">
        <v>294</v>
      </c>
      <c r="N49" s="123">
        <v>0</v>
      </c>
      <c r="O49" s="219">
        <v>0</v>
      </c>
    </row>
    <row r="50" spans="2:15" x14ac:dyDescent="0.25">
      <c r="B50" s="269">
        <v>41987</v>
      </c>
      <c r="C50" s="252">
        <v>23</v>
      </c>
      <c r="D50" s="116">
        <v>3</v>
      </c>
      <c r="E50" s="116">
        <v>1</v>
      </c>
      <c r="F50" s="116">
        <v>3</v>
      </c>
      <c r="G50" s="116">
        <v>1</v>
      </c>
      <c r="H50" s="253">
        <v>320</v>
      </c>
      <c r="I50" s="248">
        <v>2</v>
      </c>
      <c r="J50" s="116">
        <v>3</v>
      </c>
      <c r="K50" s="117">
        <v>1.5</v>
      </c>
      <c r="L50" s="123">
        <v>0.2</v>
      </c>
      <c r="M50" s="117">
        <v>10</v>
      </c>
      <c r="N50" s="123">
        <v>0</v>
      </c>
      <c r="O50" s="219">
        <v>0</v>
      </c>
    </row>
    <row r="51" spans="2:15" ht="15.75" thickBot="1" x14ac:dyDescent="0.3">
      <c r="B51" s="269">
        <v>41980</v>
      </c>
      <c r="C51" s="252">
        <v>1</v>
      </c>
      <c r="D51" s="116">
        <v>0</v>
      </c>
      <c r="E51" s="116">
        <v>0</v>
      </c>
      <c r="F51" s="116">
        <v>1</v>
      </c>
      <c r="G51" s="116">
        <v>1</v>
      </c>
      <c r="H51" s="253">
        <v>48</v>
      </c>
      <c r="I51" s="248">
        <v>1</v>
      </c>
      <c r="J51" s="116">
        <v>2</v>
      </c>
      <c r="K51" s="119">
        <v>2</v>
      </c>
      <c r="L51" s="123">
        <v>0.2</v>
      </c>
      <c r="M51" s="117">
        <v>101</v>
      </c>
      <c r="N51" s="123">
        <v>0</v>
      </c>
      <c r="O51" s="219">
        <v>0</v>
      </c>
    </row>
    <row r="52" spans="2:15" x14ac:dyDescent="0.25">
      <c r="B52" s="272" t="s">
        <v>538</v>
      </c>
      <c r="C52" s="194"/>
      <c r="D52" s="195"/>
      <c r="E52" s="195"/>
      <c r="F52" s="195"/>
      <c r="G52" s="195"/>
      <c r="H52" s="218"/>
      <c r="I52" s="195"/>
      <c r="J52" s="195"/>
      <c r="K52" s="195"/>
      <c r="L52" s="195"/>
      <c r="M52" s="195"/>
      <c r="N52" s="195"/>
      <c r="O52" s="218"/>
    </row>
    <row r="53" spans="2:15" x14ac:dyDescent="0.25">
      <c r="B53" s="269">
        <v>41994</v>
      </c>
      <c r="C53" s="252">
        <v>45</v>
      </c>
      <c r="D53" s="116">
        <v>4</v>
      </c>
      <c r="E53" s="116">
        <v>0</v>
      </c>
      <c r="F53" s="116">
        <v>13</v>
      </c>
      <c r="G53" s="116">
        <v>0</v>
      </c>
      <c r="H53" s="253">
        <v>12231</v>
      </c>
      <c r="I53" s="248">
        <v>0</v>
      </c>
      <c r="J53" s="116">
        <v>0</v>
      </c>
      <c r="K53" s="117">
        <v>0</v>
      </c>
      <c r="L53" s="123">
        <v>0</v>
      </c>
      <c r="M53" s="117">
        <v>0</v>
      </c>
      <c r="N53" s="123">
        <v>0</v>
      </c>
      <c r="O53" s="219">
        <v>0</v>
      </c>
    </row>
    <row r="54" spans="2:15" x14ac:dyDescent="0.25">
      <c r="B54" s="269">
        <v>41987</v>
      </c>
      <c r="C54" s="252">
        <v>41</v>
      </c>
      <c r="D54" s="116">
        <v>0</v>
      </c>
      <c r="E54" s="116">
        <v>0</v>
      </c>
      <c r="F54" s="116">
        <v>1</v>
      </c>
      <c r="G54" s="116">
        <v>0</v>
      </c>
      <c r="H54" s="253">
        <v>474</v>
      </c>
      <c r="I54" s="248">
        <v>0</v>
      </c>
      <c r="J54" s="116">
        <v>0</v>
      </c>
      <c r="K54" s="117">
        <v>0</v>
      </c>
      <c r="L54" s="123">
        <v>0</v>
      </c>
      <c r="M54" s="117">
        <v>0</v>
      </c>
      <c r="N54" s="123">
        <v>0</v>
      </c>
      <c r="O54" s="219">
        <v>0</v>
      </c>
    </row>
    <row r="55" spans="2:15" ht="15.75" thickBot="1" x14ac:dyDescent="0.3">
      <c r="B55" s="270">
        <v>41980</v>
      </c>
      <c r="C55" s="259">
        <v>67</v>
      </c>
      <c r="D55" s="122">
        <v>1</v>
      </c>
      <c r="E55" s="122">
        <v>1</v>
      </c>
      <c r="F55" s="122">
        <v>5</v>
      </c>
      <c r="G55" s="122">
        <v>1</v>
      </c>
      <c r="H55" s="256">
        <v>53563</v>
      </c>
      <c r="I55" s="249">
        <v>0</v>
      </c>
      <c r="J55" s="122">
        <v>0</v>
      </c>
      <c r="K55" s="119">
        <v>0</v>
      </c>
      <c r="L55" s="124">
        <v>0</v>
      </c>
      <c r="M55" s="119">
        <v>0</v>
      </c>
      <c r="N55" s="124">
        <v>0</v>
      </c>
      <c r="O55" s="220">
        <v>0</v>
      </c>
    </row>
    <row r="56" spans="2:15" ht="30" customHeight="1" x14ac:dyDescent="0.25"/>
    <row r="57" spans="2:15" x14ac:dyDescent="0.25">
      <c r="B57" s="363" t="s">
        <v>489</v>
      </c>
      <c r="C57" s="364"/>
      <c r="D57" s="368" t="s">
        <v>490</v>
      </c>
      <c r="E57" s="369"/>
      <c r="F57" s="369"/>
      <c r="G57" s="370"/>
      <c r="H57" s="260"/>
      <c r="I57" s="260"/>
    </row>
    <row r="58" spans="2:15" x14ac:dyDescent="0.25">
      <c r="B58" s="363" t="s">
        <v>491</v>
      </c>
      <c r="C58" s="364"/>
      <c r="D58" s="368" t="s">
        <v>492</v>
      </c>
      <c r="E58" s="369"/>
      <c r="F58" s="369"/>
      <c r="G58" s="370"/>
      <c r="H58" s="260"/>
      <c r="I58" s="260"/>
    </row>
    <row r="60" spans="2:15" ht="15.75" thickBot="1" x14ac:dyDescent="0.3"/>
    <row r="61" spans="2:15" s="196" customFormat="1" ht="27.75" customHeight="1" x14ac:dyDescent="0.25">
      <c r="B61" s="345" t="s">
        <v>489</v>
      </c>
      <c r="C61" s="346"/>
      <c r="D61" s="372" t="s">
        <v>22</v>
      </c>
      <c r="E61" s="373"/>
      <c r="F61" s="351" t="s">
        <v>506</v>
      </c>
      <c r="G61" s="352"/>
      <c r="H61" s="352"/>
      <c r="I61" s="352"/>
      <c r="J61" s="352"/>
      <c r="K61" s="352"/>
      <c r="L61" s="352"/>
      <c r="M61" s="352"/>
      <c r="N61" s="352"/>
      <c r="O61" s="353"/>
    </row>
    <row r="62" spans="2:15" s="196" customFormat="1" ht="27.75" customHeight="1" x14ac:dyDescent="0.25">
      <c r="B62" s="347"/>
      <c r="C62" s="348"/>
      <c r="D62" s="354" t="s">
        <v>23</v>
      </c>
      <c r="E62" s="355"/>
      <c r="F62" s="342" t="s">
        <v>507</v>
      </c>
      <c r="G62" s="343"/>
      <c r="H62" s="343"/>
      <c r="I62" s="343"/>
      <c r="J62" s="343"/>
      <c r="K62" s="343"/>
      <c r="L62" s="343"/>
      <c r="M62" s="343"/>
      <c r="N62" s="343"/>
      <c r="O62" s="344"/>
    </row>
    <row r="63" spans="2:15" s="196" customFormat="1" ht="27.75" customHeight="1" x14ac:dyDescent="0.25">
      <c r="B63" s="347"/>
      <c r="C63" s="348"/>
      <c r="D63" s="354" t="s">
        <v>488</v>
      </c>
      <c r="E63" s="355"/>
      <c r="F63" s="342" t="s">
        <v>508</v>
      </c>
      <c r="G63" s="343"/>
      <c r="H63" s="343"/>
      <c r="I63" s="343"/>
      <c r="J63" s="343"/>
      <c r="K63" s="343"/>
      <c r="L63" s="343"/>
      <c r="M63" s="343"/>
      <c r="N63" s="343"/>
      <c r="O63" s="344"/>
    </row>
    <row r="64" spans="2:15" s="196" customFormat="1" ht="27.75" customHeight="1" x14ac:dyDescent="0.25">
      <c r="B64" s="347"/>
      <c r="C64" s="348"/>
      <c r="D64" s="334" t="s">
        <v>493</v>
      </c>
      <c r="E64" s="334"/>
      <c r="F64" s="336" t="s">
        <v>494</v>
      </c>
      <c r="G64" s="336"/>
      <c r="H64" s="336"/>
      <c r="I64" s="336"/>
      <c r="J64" s="336"/>
      <c r="K64" s="336"/>
      <c r="L64" s="336"/>
      <c r="M64" s="336"/>
      <c r="N64" s="336"/>
      <c r="O64" s="337"/>
    </row>
    <row r="65" spans="2:15" s="196" customFormat="1" ht="27.75" customHeight="1" x14ac:dyDescent="0.25">
      <c r="B65" s="347"/>
      <c r="C65" s="348"/>
      <c r="D65" s="334" t="s">
        <v>40</v>
      </c>
      <c r="E65" s="334"/>
      <c r="F65" s="336" t="s">
        <v>495</v>
      </c>
      <c r="G65" s="336"/>
      <c r="H65" s="336"/>
      <c r="I65" s="336"/>
      <c r="J65" s="336"/>
      <c r="K65" s="336"/>
      <c r="L65" s="336"/>
      <c r="M65" s="336"/>
      <c r="N65" s="336"/>
      <c r="O65" s="337"/>
    </row>
    <row r="66" spans="2:15" s="196" customFormat="1" ht="27.75" customHeight="1" thickBot="1" x14ac:dyDescent="0.3">
      <c r="B66" s="349"/>
      <c r="C66" s="350"/>
      <c r="D66" s="335" t="s">
        <v>464</v>
      </c>
      <c r="E66" s="335"/>
      <c r="F66" s="338" t="s">
        <v>496</v>
      </c>
      <c r="G66" s="338"/>
      <c r="H66" s="338"/>
      <c r="I66" s="338"/>
      <c r="J66" s="338"/>
      <c r="K66" s="338"/>
      <c r="L66" s="338"/>
      <c r="M66" s="338"/>
      <c r="N66" s="338"/>
      <c r="O66" s="339"/>
    </row>
    <row r="67" spans="2:15" s="196" customFormat="1" ht="27.75" customHeight="1" x14ac:dyDescent="0.25">
      <c r="B67" s="345" t="s">
        <v>491</v>
      </c>
      <c r="C67" s="346"/>
      <c r="D67" s="371" t="s">
        <v>465</v>
      </c>
      <c r="E67" s="371"/>
      <c r="F67" s="340" t="s">
        <v>497</v>
      </c>
      <c r="G67" s="340"/>
      <c r="H67" s="340"/>
      <c r="I67" s="340"/>
      <c r="J67" s="340"/>
      <c r="K67" s="340"/>
      <c r="L67" s="340"/>
      <c r="M67" s="340"/>
      <c r="N67" s="340"/>
      <c r="O67" s="341"/>
    </row>
    <row r="68" spans="2:15" s="196" customFormat="1" ht="27.75" customHeight="1" x14ac:dyDescent="0.25">
      <c r="B68" s="347"/>
      <c r="C68" s="348"/>
      <c r="D68" s="334" t="s">
        <v>472</v>
      </c>
      <c r="E68" s="334"/>
      <c r="F68" s="336" t="s">
        <v>498</v>
      </c>
      <c r="G68" s="336"/>
      <c r="H68" s="336"/>
      <c r="I68" s="336"/>
      <c r="J68" s="336"/>
      <c r="K68" s="336"/>
      <c r="L68" s="336"/>
      <c r="M68" s="336"/>
      <c r="N68" s="336"/>
      <c r="O68" s="337"/>
    </row>
    <row r="69" spans="2:15" s="196" customFormat="1" ht="27.75" customHeight="1" x14ac:dyDescent="0.25">
      <c r="B69" s="347"/>
      <c r="C69" s="348"/>
      <c r="D69" s="334" t="s">
        <v>473</v>
      </c>
      <c r="E69" s="334"/>
      <c r="F69" s="336" t="s">
        <v>499</v>
      </c>
      <c r="G69" s="336"/>
      <c r="H69" s="336"/>
      <c r="I69" s="336"/>
      <c r="J69" s="336"/>
      <c r="K69" s="336"/>
      <c r="L69" s="336"/>
      <c r="M69" s="336"/>
      <c r="N69" s="336"/>
      <c r="O69" s="337"/>
    </row>
    <row r="70" spans="2:15" s="196" customFormat="1" ht="27.75" customHeight="1" x14ac:dyDescent="0.25">
      <c r="B70" s="347"/>
      <c r="C70" s="348"/>
      <c r="D70" s="334" t="s">
        <v>474</v>
      </c>
      <c r="E70" s="334"/>
      <c r="F70" s="336" t="s">
        <v>500</v>
      </c>
      <c r="G70" s="336"/>
      <c r="H70" s="336"/>
      <c r="I70" s="336"/>
      <c r="J70" s="336"/>
      <c r="K70" s="336"/>
      <c r="L70" s="336"/>
      <c r="M70" s="336"/>
      <c r="N70" s="336"/>
      <c r="O70" s="337"/>
    </row>
    <row r="71" spans="2:15" s="196" customFormat="1" ht="27.75" customHeight="1" x14ac:dyDescent="0.25">
      <c r="B71" s="347"/>
      <c r="C71" s="348"/>
      <c r="D71" s="334" t="s">
        <v>501</v>
      </c>
      <c r="E71" s="334"/>
      <c r="F71" s="336" t="s">
        <v>502</v>
      </c>
      <c r="G71" s="336"/>
      <c r="H71" s="336"/>
      <c r="I71" s="336"/>
      <c r="J71" s="336"/>
      <c r="K71" s="336"/>
      <c r="L71" s="336"/>
      <c r="M71" s="336"/>
      <c r="N71" s="336"/>
      <c r="O71" s="337"/>
    </row>
    <row r="72" spans="2:15" s="196" customFormat="1" ht="27.75" customHeight="1" x14ac:dyDescent="0.25">
      <c r="B72" s="347"/>
      <c r="C72" s="348"/>
      <c r="D72" s="334" t="s">
        <v>503</v>
      </c>
      <c r="E72" s="334"/>
      <c r="F72" s="336" t="s">
        <v>504</v>
      </c>
      <c r="G72" s="336"/>
      <c r="H72" s="336"/>
      <c r="I72" s="336"/>
      <c r="J72" s="336"/>
      <c r="K72" s="336"/>
      <c r="L72" s="336"/>
      <c r="M72" s="336"/>
      <c r="N72" s="336"/>
      <c r="O72" s="337"/>
    </row>
    <row r="73" spans="2:15" s="196" customFormat="1" ht="41.25" customHeight="1" x14ac:dyDescent="0.25">
      <c r="B73" s="347"/>
      <c r="C73" s="348"/>
      <c r="D73" s="334" t="s">
        <v>482</v>
      </c>
      <c r="E73" s="334"/>
      <c r="F73" s="336" t="s">
        <v>505</v>
      </c>
      <c r="G73" s="336"/>
      <c r="H73" s="336"/>
      <c r="I73" s="336"/>
      <c r="J73" s="336"/>
      <c r="K73" s="336"/>
      <c r="L73" s="336"/>
      <c r="M73" s="336"/>
      <c r="N73" s="336"/>
      <c r="O73" s="337"/>
    </row>
    <row r="74" spans="2:15" s="196" customFormat="1" ht="27.75" customHeight="1" thickBot="1" x14ac:dyDescent="0.3">
      <c r="B74" s="349"/>
      <c r="C74" s="350"/>
      <c r="D74" s="335" t="s">
        <v>476</v>
      </c>
      <c r="E74" s="335"/>
      <c r="F74" s="338" t="s">
        <v>477</v>
      </c>
      <c r="G74" s="338"/>
      <c r="H74" s="338"/>
      <c r="I74" s="338"/>
      <c r="J74" s="338"/>
      <c r="K74" s="338"/>
      <c r="L74" s="338"/>
      <c r="M74" s="338"/>
      <c r="N74" s="338"/>
      <c r="O74" s="339"/>
    </row>
    <row r="75" spans="2:15" s="196" customFormat="1" ht="25.5" customHeight="1" x14ac:dyDescent="0.25"/>
  </sheetData>
  <mergeCells count="37">
    <mergeCell ref="D73:E73"/>
    <mergeCell ref="F73:O73"/>
    <mergeCell ref="D74:E74"/>
    <mergeCell ref="F74:O74"/>
    <mergeCell ref="I6:O6"/>
    <mergeCell ref="D72:E72"/>
    <mergeCell ref="F72:O72"/>
    <mergeCell ref="D61:E61"/>
    <mergeCell ref="F61:O61"/>
    <mergeCell ref="D62:E62"/>
    <mergeCell ref="F62:O62"/>
    <mergeCell ref="D63:E63"/>
    <mergeCell ref="F63:O63"/>
    <mergeCell ref="D64:E64"/>
    <mergeCell ref="F64:O64"/>
    <mergeCell ref="D65:E65"/>
    <mergeCell ref="B2:O2"/>
    <mergeCell ref="D70:E70"/>
    <mergeCell ref="F70:O70"/>
    <mergeCell ref="D71:E71"/>
    <mergeCell ref="F71:O71"/>
    <mergeCell ref="F65:O65"/>
    <mergeCell ref="D66:E66"/>
    <mergeCell ref="F66:O66"/>
    <mergeCell ref="B67:C74"/>
    <mergeCell ref="D67:E67"/>
    <mergeCell ref="F67:O67"/>
    <mergeCell ref="D68:E68"/>
    <mergeCell ref="F68:O68"/>
    <mergeCell ref="D69:E69"/>
    <mergeCell ref="F69:O69"/>
    <mergeCell ref="B61:C66"/>
    <mergeCell ref="C6:H6"/>
    <mergeCell ref="B57:C57"/>
    <mergeCell ref="D57:G57"/>
    <mergeCell ref="B58:C58"/>
    <mergeCell ref="D58:G58"/>
  </mergeCells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6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1:B12"/>
  <sheetViews>
    <sheetView workbookViewId="0">
      <selection activeCell="B2" sqref="B2:B12"/>
    </sheetView>
  </sheetViews>
  <sheetFormatPr defaultRowHeight="15" x14ac:dyDescent="0.25"/>
  <cols>
    <col min="2" max="2" width="16.28515625" bestFit="1" customWidth="1"/>
  </cols>
  <sheetData>
    <row r="1" spans="2:2" ht="15.75" thickBot="1" x14ac:dyDescent="0.3"/>
    <row r="2" spans="2:2" x14ac:dyDescent="0.25">
      <c r="B2" s="274" t="s">
        <v>18</v>
      </c>
    </row>
    <row r="3" spans="2:2" x14ac:dyDescent="0.25">
      <c r="B3" s="277" t="s">
        <v>546</v>
      </c>
    </row>
    <row r="4" spans="2:2" x14ac:dyDescent="0.25">
      <c r="B4" s="277" t="s">
        <v>468</v>
      </c>
    </row>
    <row r="5" spans="2:2" x14ac:dyDescent="0.25">
      <c r="B5" s="276" t="s">
        <v>19</v>
      </c>
    </row>
    <row r="6" spans="2:2" x14ac:dyDescent="0.25">
      <c r="B6" s="277" t="s">
        <v>542</v>
      </c>
    </row>
    <row r="7" spans="2:2" x14ac:dyDescent="0.25">
      <c r="B7" s="277" t="s">
        <v>536</v>
      </c>
    </row>
    <row r="8" spans="2:2" x14ac:dyDescent="0.25">
      <c r="B8" s="276" t="s">
        <v>20</v>
      </c>
    </row>
    <row r="9" spans="2:2" x14ac:dyDescent="0.25">
      <c r="B9" s="277" t="s">
        <v>549</v>
      </c>
    </row>
    <row r="10" spans="2:2" x14ac:dyDescent="0.25">
      <c r="B10" s="277" t="s">
        <v>486</v>
      </c>
    </row>
    <row r="11" spans="2:2" x14ac:dyDescent="0.25">
      <c r="B11" s="277" t="s">
        <v>537</v>
      </c>
    </row>
    <row r="12" spans="2:2" ht="15.75" thickBot="1" x14ac:dyDescent="0.3">
      <c r="B12" s="278" t="s">
        <v>538</v>
      </c>
    </row>
  </sheetData>
  <sortState ref="B3:B12">
    <sortCondition ref="B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Weekly Review</vt:lpstr>
      <vt:lpstr>Daily</vt:lpstr>
      <vt:lpstr>Accumulated Daily</vt:lpstr>
      <vt:lpstr>Main Brazil</vt:lpstr>
      <vt:lpstr>2014</vt:lpstr>
      <vt:lpstr>Plan1</vt:lpstr>
      <vt:lpstr>Teste</vt:lpstr>
      <vt:lpstr>Report Rodrigo</vt:lpstr>
      <vt:lpstr>Report Rodrigo (Final)</vt:lpstr>
      <vt:lpstr>Report Rodrigo (BIME)</vt:lpstr>
      <vt:lpstr>Plan2</vt:lpstr>
      <vt:lpstr>Teste!_?from_EUR</vt:lpstr>
      <vt:lpstr>Daily!Area_de_impressao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</dc:creator>
  <cp:lastModifiedBy>Ricardo</cp:lastModifiedBy>
  <cp:lastPrinted>2014-12-28T16:01:05Z</cp:lastPrinted>
  <dcterms:created xsi:type="dcterms:W3CDTF">2014-08-30T02:53:30Z</dcterms:created>
  <dcterms:modified xsi:type="dcterms:W3CDTF">2014-12-28T16:01:32Z</dcterms:modified>
</cp:coreProperties>
</file>