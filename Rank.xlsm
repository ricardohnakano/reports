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EstaPasta_de_trabalho"/>
  <bookViews>
    <workbookView xWindow="1800" yWindow="315" windowWidth="21600" windowHeight="9435" tabRatio="835" activeTab="4"/>
  </bookViews>
  <sheets>
    <sheet name="Report Rodrigo" sheetId="2" r:id="rId1"/>
    <sheet name="Report Rodrigo (Final)" sheetId="3" r:id="rId2"/>
    <sheet name="(Monthly)Report Rodrigo" sheetId="4" r:id="rId3"/>
    <sheet name="(Monthly)Report Rodrigo (Final)" sheetId="5" r:id="rId4"/>
    <sheet name="(Yearly)Report" sheetId="10" r:id="rId5"/>
    <sheet name="(Yearly)Report (Final)" sheetId="11" r:id="rId6"/>
    <sheet name="(Monthly)Report2" sheetId="8" r:id="rId7"/>
    <sheet name="(Monthly)Report2 (Final)" sheetId="9" r:id="rId8"/>
    <sheet name="(Monthly)Routes" sheetId="6" r:id="rId9"/>
    <sheet name="(Monthly)Routes (Final)" sheetId="7" r:id="rId10"/>
  </sheets>
  <externalReferences>
    <externalReference r:id="rId11"/>
  </externalReferences>
  <calcPr calcId="145621" concurrentCalc="0"/>
</workbook>
</file>

<file path=xl/calcChain.xml><?xml version="1.0" encoding="utf-8"?>
<calcChain xmlns="http://schemas.openxmlformats.org/spreadsheetml/2006/main">
  <c r="R9" i="10" l="1"/>
  <c r="C4" i="2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B10" i="11"/>
  <c r="B9" i="11"/>
  <c r="C10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R10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R9" i="11"/>
  <c r="C9" i="11"/>
  <c r="R12" i="10"/>
  <c r="R13" i="10"/>
  <c r="R15" i="10"/>
  <c r="R16" i="10"/>
  <c r="R18" i="10"/>
  <c r="R19" i="10"/>
  <c r="R21" i="10"/>
  <c r="R22" i="10"/>
  <c r="R24" i="10"/>
  <c r="R25" i="10"/>
  <c r="R27" i="10"/>
  <c r="R28" i="10"/>
  <c r="R30" i="10"/>
  <c r="R31" i="10"/>
  <c r="R33" i="10"/>
  <c r="R34" i="10"/>
  <c r="R36" i="10"/>
  <c r="R37" i="10"/>
  <c r="R39" i="10"/>
  <c r="R40" i="10"/>
  <c r="R42" i="10"/>
  <c r="R43" i="10"/>
  <c r="R10" i="10"/>
  <c r="C4" i="10"/>
  <c r="B43" i="10"/>
  <c r="C4" i="4"/>
  <c r="B12" i="4"/>
  <c r="B11" i="4"/>
  <c r="B10" i="4"/>
  <c r="B9" i="4"/>
  <c r="B2" i="11"/>
  <c r="F94" i="10"/>
  <c r="H94" i="10"/>
  <c r="G94" i="10"/>
  <c r="K94" i="10"/>
  <c r="I94" i="10"/>
  <c r="H96" i="10"/>
  <c r="G96" i="10"/>
  <c r="F96" i="10"/>
  <c r="F84" i="10"/>
  <c r="F85" i="10"/>
  <c r="F86" i="10"/>
  <c r="F87" i="10"/>
  <c r="F88" i="10"/>
  <c r="F89" i="10"/>
  <c r="F90" i="10"/>
  <c r="F91" i="10"/>
  <c r="F92" i="10"/>
  <c r="F93" i="10"/>
  <c r="E94" i="10"/>
  <c r="K93" i="10"/>
  <c r="I93" i="10"/>
  <c r="H93" i="10"/>
  <c r="G93" i="10"/>
  <c r="E93" i="10"/>
  <c r="K92" i="10"/>
  <c r="I92" i="10"/>
  <c r="H92" i="10"/>
  <c r="G92" i="10"/>
  <c r="E92" i="10"/>
  <c r="K91" i="10"/>
  <c r="I91" i="10"/>
  <c r="H91" i="10"/>
  <c r="G91" i="10"/>
  <c r="E91" i="10"/>
  <c r="K90" i="10"/>
  <c r="I90" i="10"/>
  <c r="H90" i="10"/>
  <c r="G90" i="10"/>
  <c r="E90" i="10"/>
  <c r="K89" i="10"/>
  <c r="I89" i="10"/>
  <c r="H89" i="10"/>
  <c r="G89" i="10"/>
  <c r="E89" i="10"/>
  <c r="K88" i="10"/>
  <c r="I88" i="10"/>
  <c r="H88" i="10"/>
  <c r="G88" i="10"/>
  <c r="E88" i="10"/>
  <c r="K87" i="10"/>
  <c r="I87" i="10"/>
  <c r="H87" i="10"/>
  <c r="G87" i="10"/>
  <c r="E87" i="10"/>
  <c r="K86" i="10"/>
  <c r="I86" i="10"/>
  <c r="H86" i="10"/>
  <c r="G86" i="10"/>
  <c r="E86" i="10"/>
  <c r="K85" i="10"/>
  <c r="I85" i="10"/>
  <c r="H85" i="10"/>
  <c r="G85" i="10"/>
  <c r="E85" i="10"/>
  <c r="K84" i="10"/>
  <c r="I84" i="10"/>
  <c r="H84" i="10"/>
  <c r="G84" i="10"/>
  <c r="E84" i="10"/>
  <c r="G78" i="10"/>
  <c r="D78" i="10"/>
  <c r="M78" i="10"/>
  <c r="I78" i="10"/>
  <c r="G77" i="10"/>
  <c r="D77" i="10"/>
  <c r="M77" i="10"/>
  <c r="I77" i="10"/>
  <c r="G76" i="10"/>
  <c r="D76" i="10"/>
  <c r="M76" i="10"/>
  <c r="I76" i="10"/>
  <c r="G75" i="10"/>
  <c r="D75" i="10"/>
  <c r="M75" i="10"/>
  <c r="I75" i="10"/>
  <c r="G74" i="10"/>
  <c r="D74" i="10"/>
  <c r="M74" i="10"/>
  <c r="I74" i="10"/>
  <c r="G73" i="10"/>
  <c r="D73" i="10"/>
  <c r="M73" i="10"/>
  <c r="I73" i="10"/>
  <c r="G72" i="10"/>
  <c r="D72" i="10"/>
  <c r="M72" i="10"/>
  <c r="I72" i="10"/>
  <c r="G71" i="10"/>
  <c r="D71" i="10"/>
  <c r="M71" i="10"/>
  <c r="I71" i="10"/>
  <c r="G70" i="10"/>
  <c r="D70" i="10"/>
  <c r="M70" i="10"/>
  <c r="I70" i="10"/>
  <c r="G69" i="10"/>
  <c r="D69" i="10"/>
  <c r="M69" i="10"/>
  <c r="I69" i="10"/>
  <c r="G68" i="10"/>
  <c r="D68" i="10"/>
  <c r="M68" i="10"/>
  <c r="I68" i="10"/>
  <c r="M67" i="10"/>
  <c r="I67" i="10"/>
  <c r="B42" i="10"/>
  <c r="B40" i="10"/>
  <c r="B39" i="10"/>
  <c r="B37" i="10"/>
  <c r="B36" i="10"/>
  <c r="B34" i="10"/>
  <c r="B33" i="10"/>
  <c r="B31" i="10"/>
  <c r="B30" i="10"/>
  <c r="B28" i="10"/>
  <c r="B27" i="10"/>
  <c r="B25" i="10"/>
  <c r="B24" i="10"/>
  <c r="B22" i="10"/>
  <c r="B21" i="10"/>
  <c r="B19" i="10"/>
  <c r="B18" i="10"/>
  <c r="B16" i="10"/>
  <c r="B15" i="10"/>
  <c r="B13" i="10"/>
  <c r="B12" i="10"/>
  <c r="B2" i="9"/>
  <c r="R9" i="8"/>
  <c r="C4" i="8"/>
  <c r="R52" i="8"/>
  <c r="R51" i="8"/>
  <c r="R50" i="8"/>
  <c r="R49" i="8"/>
  <c r="R47" i="8"/>
  <c r="R46" i="8"/>
  <c r="R45" i="8"/>
  <c r="R44" i="8"/>
  <c r="R42" i="8"/>
  <c r="R41" i="8"/>
  <c r="R40" i="8"/>
  <c r="R39" i="8"/>
  <c r="R37" i="8"/>
  <c r="R36" i="8"/>
  <c r="R35" i="8"/>
  <c r="R34" i="8"/>
  <c r="R32" i="8"/>
  <c r="R31" i="8"/>
  <c r="R30" i="8"/>
  <c r="R29" i="8"/>
  <c r="R26" i="8"/>
  <c r="R27" i="8"/>
  <c r="R25" i="8"/>
  <c r="R24" i="8"/>
  <c r="R22" i="8"/>
  <c r="R21" i="8"/>
  <c r="R20" i="8"/>
  <c r="R19" i="8"/>
  <c r="R15" i="8"/>
  <c r="R16" i="8"/>
  <c r="R17" i="8"/>
  <c r="R14" i="8"/>
  <c r="R10" i="8"/>
  <c r="R11" i="8"/>
  <c r="R12" i="8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F104" i="8"/>
  <c r="H104" i="8"/>
  <c r="G104" i="8"/>
  <c r="K104" i="8"/>
  <c r="I104" i="8"/>
  <c r="H106" i="8"/>
  <c r="G106" i="8"/>
  <c r="F106" i="8"/>
  <c r="F97" i="8"/>
  <c r="F98" i="8"/>
  <c r="F99" i="8"/>
  <c r="F100" i="8"/>
  <c r="F101" i="8"/>
  <c r="F102" i="8"/>
  <c r="F103" i="8"/>
  <c r="E104" i="8"/>
  <c r="K103" i="8"/>
  <c r="I103" i="8"/>
  <c r="H103" i="8"/>
  <c r="G103" i="8"/>
  <c r="E103" i="8"/>
  <c r="K102" i="8"/>
  <c r="I102" i="8"/>
  <c r="H102" i="8"/>
  <c r="G102" i="8"/>
  <c r="E102" i="8"/>
  <c r="K101" i="8"/>
  <c r="I101" i="8"/>
  <c r="H101" i="8"/>
  <c r="G101" i="8"/>
  <c r="E101" i="8"/>
  <c r="K100" i="8"/>
  <c r="I100" i="8"/>
  <c r="H100" i="8"/>
  <c r="G100" i="8"/>
  <c r="E100" i="8"/>
  <c r="K99" i="8"/>
  <c r="I99" i="8"/>
  <c r="H99" i="8"/>
  <c r="G99" i="8"/>
  <c r="E99" i="8"/>
  <c r="K98" i="8"/>
  <c r="I98" i="8"/>
  <c r="H98" i="8"/>
  <c r="G98" i="8"/>
  <c r="E98" i="8"/>
  <c r="K97" i="8"/>
  <c r="I97" i="8"/>
  <c r="H97" i="8"/>
  <c r="G97" i="8"/>
  <c r="E97" i="8"/>
  <c r="G91" i="8"/>
  <c r="D91" i="8"/>
  <c r="M91" i="8"/>
  <c r="I91" i="8"/>
  <c r="G90" i="8"/>
  <c r="D90" i="8"/>
  <c r="M90" i="8"/>
  <c r="I90" i="8"/>
  <c r="G89" i="8"/>
  <c r="D89" i="8"/>
  <c r="M89" i="8"/>
  <c r="I89" i="8"/>
  <c r="G88" i="8"/>
  <c r="D88" i="8"/>
  <c r="M88" i="8"/>
  <c r="I88" i="8"/>
  <c r="G87" i="8"/>
  <c r="D87" i="8"/>
  <c r="M87" i="8"/>
  <c r="I87" i="8"/>
  <c r="G86" i="8"/>
  <c r="D86" i="8"/>
  <c r="M86" i="8"/>
  <c r="I86" i="8"/>
  <c r="G85" i="8"/>
  <c r="D85" i="8"/>
  <c r="M85" i="8"/>
  <c r="I85" i="8"/>
  <c r="G84" i="8"/>
  <c r="D84" i="8"/>
  <c r="M84" i="8"/>
  <c r="I84" i="8"/>
  <c r="G83" i="8"/>
  <c r="D83" i="8"/>
  <c r="M83" i="8"/>
  <c r="I83" i="8"/>
  <c r="G82" i="8"/>
  <c r="D82" i="8"/>
  <c r="M82" i="8"/>
  <c r="I82" i="8"/>
  <c r="G81" i="8"/>
  <c r="D81" i="8"/>
  <c r="M81" i="8"/>
  <c r="I81" i="8"/>
  <c r="M80" i="8"/>
  <c r="I80" i="8"/>
  <c r="B52" i="8"/>
  <c r="B51" i="8"/>
  <c r="B50" i="8"/>
  <c r="B49" i="8"/>
  <c r="B47" i="8"/>
  <c r="B46" i="8"/>
  <c r="B45" i="8"/>
  <c r="B44" i="8"/>
  <c r="B42" i="8"/>
  <c r="B41" i="8"/>
  <c r="B40" i="8"/>
  <c r="B39" i="8"/>
  <c r="B37" i="8"/>
  <c r="B36" i="8"/>
  <c r="B35" i="8"/>
  <c r="B34" i="8"/>
  <c r="B32" i="8"/>
  <c r="B31" i="8"/>
  <c r="B30" i="8"/>
  <c r="B29" i="8"/>
  <c r="B27" i="8"/>
  <c r="B26" i="8"/>
  <c r="B25" i="8"/>
  <c r="B24" i="8"/>
  <c r="B22" i="8"/>
  <c r="B21" i="8"/>
  <c r="B20" i="8"/>
  <c r="B19" i="8"/>
  <c r="B17" i="8"/>
  <c r="B16" i="8"/>
  <c r="B15" i="8"/>
  <c r="B14" i="8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Q108" i="6"/>
  <c r="E166" i="6"/>
  <c r="Q97" i="6"/>
  <c r="E165" i="6"/>
  <c r="Q86" i="6"/>
  <c r="E164" i="6"/>
  <c r="Q75" i="6"/>
  <c r="E163" i="6"/>
  <c r="Q64" i="6"/>
  <c r="E162" i="6"/>
  <c r="Q53" i="6"/>
  <c r="E161" i="6"/>
  <c r="Q42" i="6"/>
  <c r="E160" i="6"/>
  <c r="Q31" i="6"/>
  <c r="E159" i="6"/>
  <c r="Q21" i="6"/>
  <c r="E158" i="6"/>
  <c r="Q9" i="6"/>
  <c r="E157" i="6"/>
  <c r="D157" i="6"/>
  <c r="D158" i="6"/>
  <c r="D159" i="6"/>
  <c r="D160" i="6"/>
  <c r="D161" i="6"/>
  <c r="D162" i="6"/>
  <c r="D163" i="6"/>
  <c r="D164" i="6"/>
  <c r="D165" i="6"/>
  <c r="D166" i="6"/>
  <c r="F142" i="6"/>
  <c r="F168" i="6"/>
  <c r="G168" i="6"/>
  <c r="E168" i="6"/>
  <c r="C142" i="6"/>
  <c r="Q10" i="6"/>
  <c r="Q11" i="6"/>
  <c r="Q12" i="6"/>
  <c r="Q13" i="6"/>
  <c r="Q14" i="6"/>
  <c r="Q15" i="6"/>
  <c r="Q16" i="6"/>
  <c r="Q17" i="6"/>
  <c r="Q18" i="6"/>
  <c r="Q20" i="6"/>
  <c r="Q22" i="6"/>
  <c r="Q23" i="6"/>
  <c r="Q24" i="6"/>
  <c r="Q25" i="6"/>
  <c r="Q26" i="6"/>
  <c r="Q27" i="6"/>
  <c r="Q28" i="6"/>
  <c r="Q29" i="6"/>
  <c r="Q32" i="6"/>
  <c r="Q33" i="6"/>
  <c r="Q34" i="6"/>
  <c r="Q35" i="6"/>
  <c r="Q36" i="6"/>
  <c r="Q37" i="6"/>
  <c r="Q38" i="6"/>
  <c r="Q39" i="6"/>
  <c r="Q40" i="6"/>
  <c r="Q43" i="6"/>
  <c r="Q44" i="6"/>
  <c r="Q45" i="6"/>
  <c r="Q46" i="6"/>
  <c r="Q47" i="6"/>
  <c r="Q48" i="6"/>
  <c r="Q49" i="6"/>
  <c r="Q50" i="6"/>
  <c r="Q51" i="6"/>
  <c r="Q54" i="6"/>
  <c r="Q55" i="6"/>
  <c r="Q56" i="6"/>
  <c r="Q57" i="6"/>
  <c r="Q58" i="6"/>
  <c r="Q59" i="6"/>
  <c r="Q60" i="6"/>
  <c r="Q61" i="6"/>
  <c r="Q62" i="6"/>
  <c r="Q65" i="6"/>
  <c r="Q66" i="6"/>
  <c r="Q67" i="6"/>
  <c r="Q68" i="6"/>
  <c r="Q69" i="6"/>
  <c r="Q70" i="6"/>
  <c r="Q71" i="6"/>
  <c r="Q72" i="6"/>
  <c r="Q73" i="6"/>
  <c r="Q76" i="6"/>
  <c r="Q77" i="6"/>
  <c r="Q78" i="6"/>
  <c r="Q79" i="6"/>
  <c r="Q80" i="6"/>
  <c r="Q81" i="6"/>
  <c r="Q82" i="6"/>
  <c r="Q83" i="6"/>
  <c r="Q84" i="6"/>
  <c r="Q87" i="6"/>
  <c r="Q88" i="6"/>
  <c r="Q89" i="6"/>
  <c r="Q90" i="6"/>
  <c r="Q91" i="6"/>
  <c r="Q92" i="6"/>
  <c r="Q93" i="6"/>
  <c r="Q94" i="6"/>
  <c r="Q95" i="6"/>
  <c r="Q98" i="6"/>
  <c r="Q99" i="6"/>
  <c r="Q100" i="6"/>
  <c r="Q101" i="6"/>
  <c r="Q102" i="6"/>
  <c r="Q103" i="6"/>
  <c r="Q104" i="6"/>
  <c r="Q105" i="6"/>
  <c r="Q106" i="6"/>
  <c r="Q117" i="6"/>
  <c r="Q116" i="6"/>
  <c r="Q115" i="6"/>
  <c r="Q114" i="6"/>
  <c r="Q113" i="6"/>
  <c r="Q112" i="6"/>
  <c r="Q111" i="6"/>
  <c r="Q110" i="6"/>
  <c r="Q109" i="6"/>
  <c r="C4" i="6"/>
  <c r="G166" i="6"/>
  <c r="F166" i="6"/>
  <c r="J166" i="6"/>
  <c r="H166" i="6"/>
  <c r="F151" i="6"/>
  <c r="C151" i="6"/>
  <c r="F150" i="6"/>
  <c r="C150" i="6"/>
  <c r="F149" i="6"/>
  <c r="C149" i="6"/>
  <c r="F148" i="6"/>
  <c r="C148" i="6"/>
  <c r="F147" i="6"/>
  <c r="C147" i="6"/>
  <c r="F146" i="6"/>
  <c r="C146" i="6"/>
  <c r="F145" i="6"/>
  <c r="C145" i="6"/>
  <c r="F144" i="6"/>
  <c r="C144" i="6"/>
  <c r="F143" i="6"/>
  <c r="C143" i="6"/>
  <c r="S15" i="4"/>
  <c r="S9" i="4"/>
  <c r="S14" i="4"/>
  <c r="C4" i="7"/>
  <c r="B2" i="7"/>
  <c r="J165" i="6"/>
  <c r="H165" i="6"/>
  <c r="G165" i="6"/>
  <c r="F165" i="6"/>
  <c r="J164" i="6"/>
  <c r="H164" i="6"/>
  <c r="G164" i="6"/>
  <c r="F164" i="6"/>
  <c r="J163" i="6"/>
  <c r="H163" i="6"/>
  <c r="G163" i="6"/>
  <c r="F163" i="6"/>
  <c r="J162" i="6"/>
  <c r="H162" i="6"/>
  <c r="G162" i="6"/>
  <c r="F162" i="6"/>
  <c r="J161" i="6"/>
  <c r="H161" i="6"/>
  <c r="G161" i="6"/>
  <c r="F161" i="6"/>
  <c r="J160" i="6"/>
  <c r="H160" i="6"/>
  <c r="G160" i="6"/>
  <c r="F160" i="6"/>
  <c r="J159" i="6"/>
  <c r="H159" i="6"/>
  <c r="G159" i="6"/>
  <c r="F159" i="6"/>
  <c r="J158" i="6"/>
  <c r="H158" i="6"/>
  <c r="G158" i="6"/>
  <c r="F158" i="6"/>
  <c r="J157" i="6"/>
  <c r="H157" i="6"/>
  <c r="G157" i="6"/>
  <c r="F157" i="6"/>
  <c r="L151" i="6"/>
  <c r="H151" i="6"/>
  <c r="L150" i="6"/>
  <c r="H150" i="6"/>
  <c r="L149" i="6"/>
  <c r="H149" i="6"/>
  <c r="L148" i="6"/>
  <c r="H148" i="6"/>
  <c r="L147" i="6"/>
  <c r="H147" i="6"/>
  <c r="L146" i="6"/>
  <c r="H146" i="6"/>
  <c r="L145" i="6"/>
  <c r="H145" i="6"/>
  <c r="L144" i="6"/>
  <c r="H144" i="6"/>
  <c r="L143" i="6"/>
  <c r="H143" i="6"/>
  <c r="L142" i="6"/>
  <c r="H142" i="6"/>
  <c r="L141" i="6"/>
  <c r="H141" i="6"/>
  <c r="R12" i="2"/>
  <c r="S19" i="4"/>
  <c r="R67" i="2"/>
  <c r="R66" i="2"/>
  <c r="R65" i="2"/>
  <c r="R64" i="2"/>
  <c r="R62" i="2"/>
  <c r="R61" i="2"/>
  <c r="R60" i="2"/>
  <c r="R59" i="2"/>
  <c r="R57" i="2"/>
  <c r="R56" i="2"/>
  <c r="R55" i="2"/>
  <c r="R54" i="2"/>
  <c r="R52" i="2"/>
  <c r="R51" i="2"/>
  <c r="R50" i="2"/>
  <c r="R49" i="2"/>
  <c r="R47" i="2"/>
  <c r="R46" i="2"/>
  <c r="R45" i="2"/>
  <c r="R44" i="2"/>
  <c r="R42" i="2"/>
  <c r="R41" i="2"/>
  <c r="R40" i="2"/>
  <c r="R39" i="2"/>
  <c r="R37" i="2"/>
  <c r="R36" i="2"/>
  <c r="R35" i="2"/>
  <c r="R34" i="2"/>
  <c r="R32" i="2"/>
  <c r="R31" i="2"/>
  <c r="R30" i="2"/>
  <c r="R29" i="2"/>
  <c r="R27" i="2"/>
  <c r="R26" i="2"/>
  <c r="R25" i="2"/>
  <c r="R24" i="2"/>
  <c r="R22" i="2"/>
  <c r="R21" i="2"/>
  <c r="R20" i="2"/>
  <c r="R19" i="2"/>
  <c r="R16" i="2"/>
  <c r="R17" i="2"/>
  <c r="R15" i="2"/>
  <c r="R14" i="2"/>
  <c r="R10" i="2"/>
  <c r="R11" i="2"/>
  <c r="R9" i="2"/>
  <c r="S67" i="4"/>
  <c r="S66" i="4"/>
  <c r="S65" i="4"/>
  <c r="S64" i="4"/>
  <c r="S62" i="4"/>
  <c r="S61" i="4"/>
  <c r="S60" i="4"/>
  <c r="S59" i="4"/>
  <c r="S57" i="4"/>
  <c r="S56" i="4"/>
  <c r="S55" i="4"/>
  <c r="S54" i="4"/>
  <c r="S52" i="4"/>
  <c r="S51" i="4"/>
  <c r="S50" i="4"/>
  <c r="S49" i="4"/>
  <c r="S47" i="4"/>
  <c r="S46" i="4"/>
  <c r="S45" i="4"/>
  <c r="S44" i="4"/>
  <c r="S42" i="4"/>
  <c r="S41" i="4"/>
  <c r="S40" i="4"/>
  <c r="S39" i="4"/>
  <c r="S37" i="4"/>
  <c r="S36" i="4"/>
  <c r="S35" i="4"/>
  <c r="S34" i="4"/>
  <c r="S32" i="4"/>
  <c r="S31" i="4"/>
  <c r="S30" i="4"/>
  <c r="S29" i="4"/>
  <c r="S27" i="4"/>
  <c r="S26" i="4"/>
  <c r="S25" i="4"/>
  <c r="S24" i="4"/>
  <c r="S22" i="4"/>
  <c r="S21" i="4"/>
  <c r="S20" i="4"/>
  <c r="S17" i="4"/>
  <c r="S16" i="4"/>
  <c r="S10" i="4"/>
  <c r="S11" i="4"/>
  <c r="S12" i="4"/>
  <c r="R10" i="5"/>
  <c r="R11" i="5"/>
  <c r="R12" i="5"/>
  <c r="R9" i="5"/>
  <c r="B67" i="4"/>
  <c r="B66" i="4"/>
  <c r="B65" i="4"/>
  <c r="B64" i="4"/>
  <c r="B62" i="4"/>
  <c r="B61" i="4"/>
  <c r="B60" i="4"/>
  <c r="B59" i="4"/>
  <c r="B57" i="4"/>
  <c r="B56" i="4"/>
  <c r="B55" i="4"/>
  <c r="B54" i="4"/>
  <c r="B52" i="4"/>
  <c r="B51" i="4"/>
  <c r="B50" i="4"/>
  <c r="B49" i="4"/>
  <c r="B47" i="4"/>
  <c r="B46" i="4"/>
  <c r="B45" i="4"/>
  <c r="B44" i="4"/>
  <c r="B42" i="4"/>
  <c r="B41" i="4"/>
  <c r="B40" i="4"/>
  <c r="B39" i="4"/>
  <c r="B37" i="4"/>
  <c r="B36" i="4"/>
  <c r="B35" i="4"/>
  <c r="B34" i="4"/>
  <c r="B32" i="4"/>
  <c r="B31" i="4"/>
  <c r="B30" i="4"/>
  <c r="B29" i="4"/>
  <c r="B27" i="4"/>
  <c r="B26" i="4"/>
  <c r="B25" i="4"/>
  <c r="B24" i="4"/>
  <c r="B22" i="4"/>
  <c r="B21" i="4"/>
  <c r="B20" i="4"/>
  <c r="B19" i="4"/>
  <c r="B17" i="4"/>
  <c r="B16" i="4"/>
  <c r="B15" i="4"/>
  <c r="B14" i="4"/>
  <c r="B2" i="3"/>
  <c r="B2" i="5"/>
  <c r="B39" i="2"/>
  <c r="S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S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S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S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C4" i="5"/>
  <c r="F118" i="4"/>
  <c r="H118" i="4"/>
  <c r="G118" i="4"/>
  <c r="K118" i="4"/>
  <c r="I118" i="4"/>
  <c r="H120" i="4"/>
  <c r="G120" i="4"/>
  <c r="F120" i="4"/>
  <c r="F108" i="4"/>
  <c r="F109" i="4"/>
  <c r="F110" i="4"/>
  <c r="F111" i="4"/>
  <c r="F112" i="4"/>
  <c r="F113" i="4"/>
  <c r="F114" i="4"/>
  <c r="F115" i="4"/>
  <c r="F116" i="4"/>
  <c r="F117" i="4"/>
  <c r="E118" i="4"/>
  <c r="K117" i="4"/>
  <c r="I117" i="4"/>
  <c r="H117" i="4"/>
  <c r="G117" i="4"/>
  <c r="E117" i="4"/>
  <c r="K116" i="4"/>
  <c r="I116" i="4"/>
  <c r="H116" i="4"/>
  <c r="G116" i="4"/>
  <c r="E116" i="4"/>
  <c r="K115" i="4"/>
  <c r="I115" i="4"/>
  <c r="H115" i="4"/>
  <c r="G115" i="4"/>
  <c r="E115" i="4"/>
  <c r="K114" i="4"/>
  <c r="I114" i="4"/>
  <c r="H114" i="4"/>
  <c r="G114" i="4"/>
  <c r="E114" i="4"/>
  <c r="K113" i="4"/>
  <c r="I113" i="4"/>
  <c r="H113" i="4"/>
  <c r="G113" i="4"/>
  <c r="E113" i="4"/>
  <c r="K112" i="4"/>
  <c r="I112" i="4"/>
  <c r="H112" i="4"/>
  <c r="G112" i="4"/>
  <c r="E112" i="4"/>
  <c r="K111" i="4"/>
  <c r="I111" i="4"/>
  <c r="H111" i="4"/>
  <c r="G111" i="4"/>
  <c r="E111" i="4"/>
  <c r="K110" i="4"/>
  <c r="I110" i="4"/>
  <c r="H110" i="4"/>
  <c r="G110" i="4"/>
  <c r="E110" i="4"/>
  <c r="K109" i="4"/>
  <c r="I109" i="4"/>
  <c r="H109" i="4"/>
  <c r="G109" i="4"/>
  <c r="E109" i="4"/>
  <c r="K108" i="4"/>
  <c r="I108" i="4"/>
  <c r="H108" i="4"/>
  <c r="G108" i="4"/>
  <c r="E108" i="4"/>
  <c r="G102" i="4"/>
  <c r="D102" i="4"/>
  <c r="M102" i="4"/>
  <c r="I102" i="4"/>
  <c r="G101" i="4"/>
  <c r="D101" i="4"/>
  <c r="M101" i="4"/>
  <c r="I101" i="4"/>
  <c r="G100" i="4"/>
  <c r="D100" i="4"/>
  <c r="M100" i="4"/>
  <c r="I100" i="4"/>
  <c r="G99" i="4"/>
  <c r="D99" i="4"/>
  <c r="M99" i="4"/>
  <c r="I99" i="4"/>
  <c r="G98" i="4"/>
  <c r="D98" i="4"/>
  <c r="M98" i="4"/>
  <c r="I98" i="4"/>
  <c r="G97" i="4"/>
  <c r="D97" i="4"/>
  <c r="M97" i="4"/>
  <c r="I97" i="4"/>
  <c r="G96" i="4"/>
  <c r="D96" i="4"/>
  <c r="M96" i="4"/>
  <c r="I96" i="4"/>
  <c r="G95" i="4"/>
  <c r="D95" i="4"/>
  <c r="M95" i="4"/>
  <c r="I95" i="4"/>
  <c r="G94" i="4"/>
  <c r="D94" i="4"/>
  <c r="M94" i="4"/>
  <c r="I94" i="4"/>
  <c r="G93" i="4"/>
  <c r="D93" i="4"/>
  <c r="M93" i="4"/>
  <c r="I93" i="4"/>
  <c r="G92" i="4"/>
  <c r="D92" i="4"/>
  <c r="M92" i="4"/>
  <c r="I92" i="4"/>
  <c r="M91" i="4"/>
  <c r="I91" i="4"/>
  <c r="R12" i="3"/>
  <c r="R11" i="3"/>
  <c r="R10" i="3"/>
  <c r="R9" i="3"/>
  <c r="B12" i="3"/>
  <c r="B11" i="3"/>
  <c r="B10" i="3"/>
  <c r="B9" i="3"/>
  <c r="F118" i="2"/>
  <c r="H118" i="2"/>
  <c r="G118" i="2"/>
  <c r="K118" i="2"/>
  <c r="I118" i="2"/>
  <c r="G120" i="2"/>
  <c r="H120" i="2"/>
  <c r="F120" i="2"/>
  <c r="F108" i="2"/>
  <c r="F109" i="2"/>
  <c r="F110" i="2"/>
  <c r="F111" i="2"/>
  <c r="F112" i="2"/>
  <c r="F113" i="2"/>
  <c r="F114" i="2"/>
  <c r="F115" i="2"/>
  <c r="F116" i="2"/>
  <c r="F117" i="2"/>
  <c r="E108" i="2"/>
  <c r="E109" i="2"/>
  <c r="E110" i="2"/>
  <c r="E111" i="2"/>
  <c r="E112" i="2"/>
  <c r="E113" i="2"/>
  <c r="E114" i="2"/>
  <c r="E115" i="2"/>
  <c r="E116" i="2"/>
  <c r="E117" i="2"/>
  <c r="E118" i="2"/>
  <c r="G102" i="2"/>
  <c r="D102" i="2"/>
  <c r="G101" i="2"/>
  <c r="D101" i="2"/>
  <c r="G100" i="2"/>
  <c r="D100" i="2"/>
  <c r="G99" i="2"/>
  <c r="D99" i="2"/>
  <c r="G98" i="2"/>
  <c r="D98" i="2"/>
  <c r="G97" i="2"/>
  <c r="D97" i="2"/>
  <c r="G96" i="2"/>
  <c r="D96" i="2"/>
  <c r="G95" i="2"/>
  <c r="D95" i="2"/>
  <c r="G94" i="2"/>
  <c r="D94" i="2"/>
  <c r="G93" i="2"/>
  <c r="D93" i="2"/>
  <c r="G92" i="2"/>
  <c r="D92" i="2"/>
  <c r="K111" i="2"/>
  <c r="K117" i="2"/>
  <c r="B67" i="2"/>
  <c r="B66" i="2"/>
  <c r="B65" i="2"/>
  <c r="B64" i="2"/>
  <c r="B62" i="2"/>
  <c r="B61" i="2"/>
  <c r="B60" i="2"/>
  <c r="B59" i="2"/>
  <c r="B57" i="2"/>
  <c r="B56" i="2"/>
  <c r="B55" i="2"/>
  <c r="B54" i="2"/>
  <c r="B52" i="2"/>
  <c r="B51" i="2"/>
  <c r="B50" i="2"/>
  <c r="B49" i="2"/>
  <c r="B47" i="2"/>
  <c r="B46" i="2"/>
  <c r="B45" i="2"/>
  <c r="B44" i="2"/>
  <c r="B42" i="2"/>
  <c r="B41" i="2"/>
  <c r="B40" i="2"/>
  <c r="B37" i="2"/>
  <c r="B36" i="2"/>
  <c r="B35" i="2"/>
  <c r="B34" i="2"/>
  <c r="B32" i="2"/>
  <c r="B31" i="2"/>
  <c r="B30" i="2"/>
  <c r="B29" i="2"/>
  <c r="B27" i="2"/>
  <c r="B26" i="2"/>
  <c r="B25" i="2"/>
  <c r="B24" i="2"/>
  <c r="B22" i="2"/>
  <c r="B21" i="2"/>
  <c r="B20" i="2"/>
  <c r="B19" i="2"/>
  <c r="B17" i="2"/>
  <c r="B16" i="2"/>
  <c r="B15" i="2"/>
  <c r="B14" i="2"/>
  <c r="K108" i="2"/>
  <c r="K113" i="2"/>
  <c r="K110" i="2"/>
  <c r="K114" i="2"/>
  <c r="K115" i="2"/>
  <c r="K109" i="2"/>
  <c r="K116" i="2"/>
  <c r="K112" i="2"/>
  <c r="I117" i="2"/>
  <c r="H117" i="2"/>
  <c r="G117" i="2"/>
  <c r="I116" i="2"/>
  <c r="H116" i="2"/>
  <c r="G116" i="2"/>
  <c r="I115" i="2"/>
  <c r="H115" i="2"/>
  <c r="G115" i="2"/>
  <c r="I114" i="2"/>
  <c r="H114" i="2"/>
  <c r="G114" i="2"/>
  <c r="I113" i="2"/>
  <c r="H113" i="2"/>
  <c r="G113" i="2"/>
  <c r="I112" i="2"/>
  <c r="H112" i="2"/>
  <c r="G112" i="2"/>
  <c r="I111" i="2"/>
  <c r="H111" i="2"/>
  <c r="G111" i="2"/>
  <c r="I110" i="2"/>
  <c r="H110" i="2"/>
  <c r="G110" i="2"/>
  <c r="I109" i="2"/>
  <c r="H109" i="2"/>
  <c r="G109" i="2"/>
  <c r="I108" i="2"/>
  <c r="H108" i="2"/>
  <c r="G108" i="2"/>
  <c r="M102" i="2"/>
  <c r="M101" i="2"/>
  <c r="M100" i="2"/>
  <c r="M99" i="2"/>
  <c r="M98" i="2"/>
  <c r="M97" i="2"/>
  <c r="M96" i="2"/>
  <c r="M95" i="2"/>
  <c r="M94" i="2"/>
  <c r="M93" i="2"/>
  <c r="M92" i="2"/>
  <c r="M91" i="2"/>
  <c r="I91" i="2"/>
  <c r="I92" i="2"/>
  <c r="I93" i="2"/>
  <c r="I94" i="2"/>
  <c r="I95" i="2"/>
  <c r="I96" i="2"/>
  <c r="I97" i="2"/>
  <c r="I98" i="2"/>
  <c r="I99" i="2"/>
  <c r="I100" i="2"/>
  <c r="I101" i="2"/>
  <c r="I102" i="2"/>
</calcChain>
</file>

<file path=xl/sharedStrings.xml><?xml version="1.0" encoding="utf-8"?>
<sst xmlns="http://schemas.openxmlformats.org/spreadsheetml/2006/main" count="919" uniqueCount="104">
  <si>
    <t>Tripda Report - Daily</t>
  </si>
  <si>
    <t>Report generated at</t>
  </si>
  <si>
    <t>Traffic activity</t>
  </si>
  <si>
    <t>Realized View</t>
  </si>
  <si>
    <t>New user</t>
  </si>
  <si>
    <t>New Drivers</t>
  </si>
  <si>
    <t>New Passangers</t>
  </si>
  <si>
    <t>New trips offered</t>
  </si>
  <si>
    <t>New Bookings</t>
  </si>
  <si>
    <t>Available Seat Kilometer (ASK)</t>
  </si>
  <si>
    <t>Trips realized</t>
  </si>
  <si>
    <t>PAX transported</t>
  </si>
  <si>
    <t>Average PAX per trip realized</t>
  </si>
  <si>
    <t>Realized TRIP Yield</t>
  </si>
  <si>
    <t>AVG Realized Trip DIstance</t>
  </si>
  <si>
    <t>Driver Cancelation rate</t>
  </si>
  <si>
    <t>PAX Cancelation rate</t>
  </si>
  <si>
    <t>Total</t>
  </si>
  <si>
    <t>Colombia</t>
  </si>
  <si>
    <t>Mexico</t>
  </si>
  <si>
    <t>Malaysia + Singapore</t>
  </si>
  <si>
    <t>Chile</t>
  </si>
  <si>
    <t>Argentina + Uruguay</t>
  </si>
  <si>
    <t>Philippines</t>
  </si>
  <si>
    <t>Taiwan</t>
  </si>
  <si>
    <t>United States</t>
  </si>
  <si>
    <t>India</t>
  </si>
  <si>
    <t>Pakistan</t>
  </si>
  <si>
    <t>Traffic activity view</t>
  </si>
  <si>
    <t>Date of when users book or offer a ride on the site</t>
  </si>
  <si>
    <t>Realized view</t>
  </si>
  <si>
    <t>Date of when trips actually occurs</t>
  </si>
  <si>
    <t>New Users</t>
  </si>
  <si>
    <t>New users on the given period</t>
  </si>
  <si>
    <t>New drivers on the given period</t>
  </si>
  <si>
    <t>New passangers  on the given period</t>
  </si>
  <si>
    <t>Trips Offered</t>
  </si>
  <si>
    <t>Number of new trips offered in the given date. Number of trips don't include stopovers. Eg: a trip from San Francisco to Los Angeles, stoping at Monterey and Santa Maria would count as 1 trip offered.</t>
  </si>
  <si>
    <t>Bookings</t>
  </si>
  <si>
    <t xml:space="preserve">Number of bookings in the given period. Eg: a booking of 3 seats booked on 12/09/2014 to travel on 14/09/2014 would be counted as 1 booking on 12/09/2014 </t>
  </si>
  <si>
    <t>Number of seats offered in the given period times the number of kilometers of each trip.</t>
  </si>
  <si>
    <t>Number of trips with at least one Tripda passenger in the given period, regardless the number of bookings in the car. Eg: a trip from Bogota to Manizales with 3 PAX and 3 different bookings would caount as 1 trip.</t>
  </si>
  <si>
    <t>Number os passengers transported in the given period</t>
  </si>
  <si>
    <t>Average PAX per trip realized  (PAX transported / Trips realized)</t>
  </si>
  <si>
    <t>Percentage of outstanding trips offered that converted into a realized trip, having at least one PAX transported. Don't confuse with "Trips offered". Here we consider the date when the trip takes place. Eg: if in one day Malaysia had 100 trips outstanding and 12 trips realized, the "Realized trip yield" would be 12%.</t>
  </si>
  <si>
    <t>Average Ticket</t>
  </si>
  <si>
    <t>Averege ticket paid by  passengers in the given period</t>
  </si>
  <si>
    <t>Average realized trip distance</t>
  </si>
  <si>
    <t>Average distance traveled in the given period. The average is weighted by the number of passenger on each trip.</t>
  </si>
  <si>
    <t>Percentage of PAX affected by driver cancellations for trips that would happen in that given period.  If a Driver cancels a trip, in which no PAX has yet booked a seat, this wont't count for this statistics. Eg: If there are 100 PAX travelig on Tripda in a given day and one driver cancels a ride with 4 seats booked, the cacelation rate would be 4%</t>
  </si>
  <si>
    <t>Percentage of trips canceled by passengers that would actually become a real trip in the given period</t>
  </si>
  <si>
    <t>Country Rank</t>
  </si>
  <si>
    <t>Rank</t>
  </si>
  <si>
    <t>Country</t>
  </si>
  <si>
    <t>Pax Transported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</si>
  <si>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</si>
  <si>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</si>
  <si>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</si>
  <si>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</si>
  <si>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</si>
  <si>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</si>
  <si>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</si>
  <si>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</si>
  <si>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</si>
  <si>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</si>
  <si>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</si>
  <si>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rank (current)</t>
  </si>
  <si>
    <t>current</t>
  </si>
  <si>
    <t>rank (current -1)</t>
  </si>
  <si>
    <t>current -1</t>
  </si>
  <si>
    <t>rank (current-2)</t>
  </si>
  <si>
    <t>current -2</t>
  </si>
  <si>
    <t>Brasil</t>
  </si>
  <si>
    <t>Index</t>
  </si>
  <si>
    <t>Cohort</t>
  </si>
  <si>
    <t>Unique trips realized</t>
  </si>
  <si>
    <t>Unique pax driver</t>
  </si>
  <si>
    <t>Tripda Report - Monthly</t>
  </si>
  <si>
    <t>Rawalpindi - Islamabad</t>
  </si>
  <si>
    <t>Raiwind - Lahore</t>
  </si>
  <si>
    <t>Lahore - Lahore</t>
  </si>
  <si>
    <t>Lahore - Islamabad</t>
  </si>
  <si>
    <t>Karachi - Karachi</t>
  </si>
  <si>
    <t>Islamabad - Rawalpindi</t>
  </si>
  <si>
    <t>Islamabad - Lahore</t>
  </si>
  <si>
    <t>Islamabad - Islamabad</t>
  </si>
  <si>
    <t>Hyderabad - Hyderabad</t>
  </si>
  <si>
    <t>Gujranwala - Gujranwala</t>
  </si>
  <si>
    <t>28.Dec - 03.Jan</t>
  </si>
  <si>
    <t>21.Dec - 27.Dec</t>
  </si>
  <si>
    <t>14.Dec - 20.Dec</t>
  </si>
  <si>
    <t>07.Dec - 13.Dec</t>
  </si>
  <si>
    <t>Trips configurations (all pax plus drivers) that have ever occurred in the past</t>
  </si>
  <si>
    <t>Number of passengers transported in the given period</t>
  </si>
  <si>
    <t>Number of passengers transported that have never ever travel with the same driver in the past</t>
  </si>
  <si>
    <t>RR1 accumulated after 2 months</t>
  </si>
  <si>
    <t>((i) average between trips realized and unique trips + (ii) average between Pax transported and unique Pax combination)*distance travelled by all pax</t>
  </si>
  <si>
    <t>Tripda Report - Weekly</t>
  </si>
  <si>
    <t>Tripda Report - Yearly</t>
  </si>
  <si>
    <t>First quarter</t>
  </si>
  <si>
    <t>Second quarter</t>
  </si>
  <si>
    <t>Third quarter</t>
  </si>
  <si>
    <t>Fourth quarter</t>
  </si>
  <si>
    <t>New Passengers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</si>
</sst>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(* #,##0.00_);_(* \(#,##0.00\);_(* &quot;-&quot;??_);_(@_)"/>
    <numFmt numFmtId="164" formatCode="_-* #,##0.00_-;\-* #,##0.00_-;_-* &quot;-&quot;??_-;_-@_-"/>
    <numFmt numFmtId="165" formatCode="d/m;@"/>
    <numFmt numFmtId="166" formatCode="#,##0;[Red]#,##0"/>
    <numFmt numFmtId="167" formatCode="0.0%"/>
    <numFmt numFmtId="168" formatCode="mmm/yyyy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b/>
      <sz val="9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2"/>
      <color theme="0"/>
      <name val="Calibri"/>
      <family val="2"/>
      <scheme val="minor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rgb="FFFF0000"/>
      <name val="Calibri"/>
      <family val="2"/>
      <scheme val="minor"/>
    </font>
    <font>
      <sz val="10"/>
      <color rgb="FF000000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18BD9D"/>
        <bgColor indexed="64"/>
      </patternFill>
    </fill>
    <fill>
      <patternFill patternType="solid">
        <fgColor rgb="FF36E6C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7">
    <xf numFmtId="0" fontId="0" fillId="0" borderId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53" applyNumberFormat="0" applyFill="0" applyAlignment="0" applyProtection="0"/>
    <xf numFmtId="0" fontId="20" fillId="0" borderId="54" applyNumberFormat="0" applyFill="0" applyAlignment="0" applyProtection="0"/>
    <xf numFmtId="0" fontId="21" fillId="0" borderId="55" applyNumberFormat="0" applyFill="0" applyAlignment="0" applyProtection="0"/>
    <xf numFmtId="0" fontId="21" fillId="0" borderId="0" applyNumberFormat="0" applyFill="0" applyBorder="0" applyAlignment="0" applyProtection="0"/>
    <xf numFmtId="0" fontId="22" fillId="7" borderId="0" applyNumberFormat="0" applyBorder="0" applyAlignment="0" applyProtection="0"/>
    <xf numFmtId="0" fontId="23" fillId="8" borderId="0" applyNumberFormat="0" applyBorder="0" applyAlignment="0" applyProtection="0"/>
    <xf numFmtId="0" fontId="24" fillId="9" borderId="0" applyNumberFormat="0" applyBorder="0" applyAlignment="0" applyProtection="0"/>
    <xf numFmtId="0" fontId="25" fillId="10" borderId="56" applyNumberFormat="0" applyAlignment="0" applyProtection="0"/>
    <xf numFmtId="0" fontId="26" fillId="11" borderId="57" applyNumberFormat="0" applyAlignment="0" applyProtection="0"/>
    <xf numFmtId="0" fontId="27" fillId="11" borderId="56" applyNumberFormat="0" applyAlignment="0" applyProtection="0"/>
    <xf numFmtId="0" fontId="28" fillId="0" borderId="58" applyNumberFormat="0" applyFill="0" applyAlignment="0" applyProtection="0"/>
    <xf numFmtId="0" fontId="29" fillId="12" borderId="59" applyNumberFormat="0" applyAlignment="0" applyProtection="0"/>
    <xf numFmtId="0" fontId="30" fillId="0" borderId="0" applyNumberFormat="0" applyFill="0" applyBorder="0" applyAlignment="0" applyProtection="0"/>
    <xf numFmtId="0" fontId="1" fillId="13" borderId="60" applyNumberFormat="0" applyFont="0" applyAlignment="0" applyProtection="0"/>
    <xf numFmtId="0" fontId="31" fillId="0" borderId="0" applyNumberFormat="0" applyFill="0" applyBorder="0" applyAlignment="0" applyProtection="0"/>
    <xf numFmtId="0" fontId="32" fillId="0" borderId="61" applyNumberFormat="0" applyFill="0" applyAlignment="0" applyProtection="0"/>
    <xf numFmtId="0" fontId="2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6" borderId="0" applyNumberFormat="0" applyBorder="0" applyAlignment="0" applyProtection="0"/>
    <xf numFmtId="0" fontId="2" fillId="37" borderId="0" applyNumberFormat="0" applyBorder="0" applyAlignment="0" applyProtection="0"/>
  </cellStyleXfs>
  <cellXfs count="303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4" fontId="4" fillId="0" borderId="0" xfId="0" applyNumberFormat="1" applyFont="1"/>
    <xf numFmtId="14" fontId="5" fillId="0" borderId="0" xfId="0" applyNumberFormat="1" applyFont="1" applyBorder="1" applyAlignment="1"/>
    <xf numFmtId="14" fontId="7" fillId="3" borderId="5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 wrapText="1"/>
    </xf>
    <xf numFmtId="0" fontId="8" fillId="3" borderId="2" xfId="0" applyFont="1" applyFill="1" applyBorder="1" applyAlignment="1">
      <alignment horizontal="center" vertical="center" wrapText="1"/>
    </xf>
    <xf numFmtId="0" fontId="8" fillId="3" borderId="6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vertical="center"/>
    </xf>
    <xf numFmtId="0" fontId="9" fillId="2" borderId="8" xfId="0" applyFont="1" applyFill="1" applyBorder="1" applyAlignment="1">
      <alignment vertical="center"/>
    </xf>
    <xf numFmtId="0" fontId="9" fillId="2" borderId="9" xfId="0" applyFont="1" applyFill="1" applyBorder="1" applyAlignment="1">
      <alignment vertical="center"/>
    </xf>
    <xf numFmtId="0" fontId="0" fillId="0" borderId="0" xfId="0" applyAlignment="1">
      <alignment horizontal="left"/>
    </xf>
    <xf numFmtId="0" fontId="0" fillId="0" borderId="0" xfId="0" applyBorder="1" applyAlignment="1"/>
    <xf numFmtId="0" fontId="0" fillId="0" borderId="0" xfId="0" applyAlignment="1">
      <alignment wrapText="1"/>
    </xf>
    <xf numFmtId="0" fontId="3" fillId="0" borderId="0" xfId="0" applyFont="1" applyBorder="1" applyAlignment="1">
      <alignment horizontal="center" vertical="center"/>
    </xf>
    <xf numFmtId="0" fontId="15" fillId="0" borderId="5" xfId="0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15" fillId="5" borderId="38" xfId="0" applyFont="1" applyFill="1" applyBorder="1" applyAlignment="1">
      <alignment horizontal="center"/>
    </xf>
    <xf numFmtId="0" fontId="15" fillId="4" borderId="17" xfId="0" applyFont="1" applyFill="1" applyBorder="1" applyAlignment="1">
      <alignment horizontal="center"/>
    </xf>
    <xf numFmtId="0" fontId="15" fillId="6" borderId="17" xfId="0" applyFont="1" applyFill="1" applyBorder="1" applyAlignment="1">
      <alignment horizontal="center"/>
    </xf>
    <xf numFmtId="0" fontId="0" fillId="0" borderId="0" xfId="0" applyNumberFormat="1"/>
    <xf numFmtId="0" fontId="15" fillId="0" borderId="17" xfId="0" applyFont="1" applyFill="1" applyBorder="1" applyAlignment="1">
      <alignment horizontal="center"/>
    </xf>
    <xf numFmtId="0" fontId="16" fillId="0" borderId="17" xfId="0" applyFont="1" applyFill="1" applyBorder="1" applyAlignment="1">
      <alignment horizontal="center"/>
    </xf>
    <xf numFmtId="0" fontId="16" fillId="0" borderId="22" xfId="0" applyFont="1" applyFill="1" applyBorder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9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15" fillId="0" borderId="42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15" fillId="0" borderId="42" xfId="0" applyNumberFormat="1" applyFont="1" applyBorder="1" applyAlignment="1">
      <alignment horizontal="center"/>
    </xf>
    <xf numFmtId="0" fontId="15" fillId="0" borderId="2" xfId="0" applyNumberFormat="1" applyFont="1" applyBorder="1" applyAlignment="1">
      <alignment horizontal="center"/>
    </xf>
    <xf numFmtId="0" fontId="15" fillId="0" borderId="7" xfId="0" applyFont="1" applyBorder="1" applyAlignment="1">
      <alignment horizontal="center"/>
    </xf>
    <xf numFmtId="0" fontId="9" fillId="2" borderId="12" xfId="1" applyFont="1" applyFill="1" applyBorder="1" applyAlignment="1">
      <alignment vertical="center"/>
    </xf>
    <xf numFmtId="0" fontId="9" fillId="2" borderId="39" xfId="1" applyFont="1" applyFill="1" applyBorder="1" applyAlignment="1">
      <alignment vertical="center"/>
    </xf>
    <xf numFmtId="0" fontId="9" fillId="2" borderId="31" xfId="1" applyFont="1" applyFill="1" applyBorder="1" applyAlignment="1">
      <alignment vertical="center"/>
    </xf>
    <xf numFmtId="0" fontId="9" fillId="2" borderId="32" xfId="1" applyFont="1" applyFill="1" applyBorder="1" applyAlignment="1">
      <alignment vertical="center"/>
    </xf>
    <xf numFmtId="165" fontId="10" fillId="0" borderId="17" xfId="1" applyNumberFormat="1" applyFont="1" applyBorder="1" applyAlignment="1">
      <alignment horizontal="center" vertical="center"/>
    </xf>
    <xf numFmtId="0" fontId="10" fillId="0" borderId="18" xfId="2" applyNumberFormat="1" applyFont="1" applyBorder="1" applyAlignment="1">
      <alignment horizontal="center" vertical="center"/>
    </xf>
    <xf numFmtId="0" fontId="10" fillId="0" borderId="19" xfId="2" applyNumberFormat="1" applyFont="1" applyBorder="1" applyAlignment="1">
      <alignment horizontal="center" vertical="center"/>
    </xf>
    <xf numFmtId="3" fontId="10" fillId="0" borderId="20" xfId="3" applyNumberFormat="1" applyFont="1" applyBorder="1" applyAlignment="1">
      <alignment horizontal="center" vertical="center"/>
    </xf>
    <xf numFmtId="0" fontId="10" fillId="0" borderId="21" xfId="2" applyNumberFormat="1" applyFont="1" applyBorder="1" applyAlignment="1">
      <alignment horizontal="center" vertical="center"/>
    </xf>
    <xf numFmtId="2" fontId="10" fillId="0" borderId="19" xfId="1" applyNumberFormat="1" applyFont="1" applyBorder="1" applyAlignment="1">
      <alignment horizontal="center" vertical="center"/>
    </xf>
    <xf numFmtId="167" fontId="10" fillId="0" borderId="19" xfId="2" applyNumberFormat="1" applyFont="1" applyBorder="1" applyAlignment="1">
      <alignment horizontal="center" vertical="center"/>
    </xf>
    <xf numFmtId="165" fontId="17" fillId="0" borderId="17" xfId="0" applyNumberFormat="1" applyFont="1" applyBorder="1" applyAlignment="1">
      <alignment horizontal="center" vertical="center"/>
    </xf>
    <xf numFmtId="2" fontId="10" fillId="0" borderId="46" xfId="1" applyNumberFormat="1" applyFont="1" applyBorder="1" applyAlignment="1">
      <alignment horizontal="center" vertical="center"/>
    </xf>
    <xf numFmtId="2" fontId="10" fillId="0" borderId="24" xfId="1" applyNumberFormat="1" applyFont="1" applyBorder="1" applyAlignment="1">
      <alignment horizontal="center" vertical="center"/>
    </xf>
    <xf numFmtId="14" fontId="9" fillId="4" borderId="12" xfId="1" applyNumberFormat="1" applyFont="1" applyFill="1" applyBorder="1" applyAlignment="1">
      <alignment vertical="center"/>
    </xf>
    <xf numFmtId="0" fontId="9" fillId="4" borderId="39" xfId="1" applyFont="1" applyFill="1" applyBorder="1" applyAlignment="1">
      <alignment vertical="center"/>
    </xf>
    <xf numFmtId="0" fontId="9" fillId="4" borderId="31" xfId="1" applyFont="1" applyFill="1" applyBorder="1" applyAlignment="1">
      <alignment vertical="center"/>
    </xf>
    <xf numFmtId="0" fontId="9" fillId="4" borderId="32" xfId="1" applyFont="1" applyFill="1" applyBorder="1" applyAlignment="1">
      <alignment vertical="center"/>
    </xf>
    <xf numFmtId="0" fontId="10" fillId="0" borderId="18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19" xfId="1" applyFont="1" applyFill="1" applyBorder="1" applyAlignment="1">
      <alignment horizontal="center" vertical="center"/>
    </xf>
    <xf numFmtId="166" fontId="10" fillId="0" borderId="20" xfId="3" applyNumberFormat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11" fillId="0" borderId="19" xfId="1" applyFont="1" applyBorder="1" applyAlignment="1">
      <alignment horizontal="center" vertical="center"/>
    </xf>
    <xf numFmtId="0" fontId="10" fillId="0" borderId="26" xfId="1" applyFont="1" applyBorder="1" applyAlignment="1">
      <alignment horizontal="center" vertical="center"/>
    </xf>
    <xf numFmtId="0" fontId="10" fillId="0" borderId="24" xfId="1" applyFont="1" applyBorder="1" applyAlignment="1">
      <alignment horizontal="center" vertical="center"/>
    </xf>
    <xf numFmtId="0" fontId="10" fillId="0" borderId="23" xfId="1" applyFont="1" applyBorder="1" applyAlignment="1">
      <alignment horizontal="center" vertical="center"/>
    </xf>
    <xf numFmtId="166" fontId="10" fillId="0" borderId="25" xfId="3" applyNumberFormat="1" applyFont="1" applyBorder="1" applyAlignment="1">
      <alignment horizontal="center" vertical="center"/>
    </xf>
    <xf numFmtId="0" fontId="9" fillId="4" borderId="12" xfId="1" applyFont="1" applyFill="1" applyBorder="1" applyAlignment="1">
      <alignment vertical="center"/>
    </xf>
    <xf numFmtId="0" fontId="10" fillId="0" borderId="21" xfId="1" applyFont="1" applyFill="1" applyBorder="1" applyAlignment="1">
      <alignment horizontal="center" vertical="center"/>
    </xf>
    <xf numFmtId="0" fontId="10" fillId="0" borderId="20" xfId="3" applyNumberFormat="1" applyFont="1" applyBorder="1" applyAlignment="1">
      <alignment horizontal="center" vertical="center"/>
    </xf>
    <xf numFmtId="0" fontId="0" fillId="0" borderId="11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3" xfId="0" applyBorder="1" applyAlignment="1">
      <alignment horizontal="center"/>
    </xf>
    <xf numFmtId="0" fontId="10" fillId="0" borderId="19" xfId="0" applyNumberFormat="1" applyFont="1" applyBorder="1" applyAlignment="1">
      <alignment horizontal="center" vertical="center"/>
    </xf>
    <xf numFmtId="0" fontId="10" fillId="0" borderId="20" xfId="0" applyNumberFormat="1" applyFont="1" applyBorder="1" applyAlignment="1">
      <alignment horizontal="center" vertical="center"/>
    </xf>
    <xf numFmtId="0" fontId="10" fillId="0" borderId="24" xfId="0" applyNumberFormat="1" applyFont="1" applyBorder="1" applyAlignment="1">
      <alignment horizontal="center" vertical="center"/>
    </xf>
    <xf numFmtId="0" fontId="10" fillId="0" borderId="25" xfId="0" applyNumberFormat="1" applyFont="1" applyBorder="1" applyAlignment="1">
      <alignment horizontal="center" vertical="center"/>
    </xf>
    <xf numFmtId="14" fontId="7" fillId="3" borderId="4" xfId="0" applyNumberFormat="1" applyFont="1" applyFill="1" applyBorder="1" applyAlignment="1">
      <alignment horizontal="center" vertical="center"/>
    </xf>
    <xf numFmtId="165" fontId="10" fillId="0" borderId="40" xfId="0" applyNumberFormat="1" applyFont="1" applyBorder="1" applyAlignment="1">
      <alignment horizontal="center" vertical="center"/>
    </xf>
    <xf numFmtId="165" fontId="10" fillId="0" borderId="41" xfId="0" applyNumberFormat="1" applyFont="1" applyBorder="1" applyAlignment="1">
      <alignment horizontal="center" vertical="center"/>
    </xf>
    <xf numFmtId="0" fontId="10" fillId="0" borderId="21" xfId="0" applyNumberFormat="1" applyFont="1" applyBorder="1" applyAlignment="1">
      <alignment horizontal="center" vertical="center"/>
    </xf>
    <xf numFmtId="0" fontId="10" fillId="0" borderId="26" xfId="0" applyNumberFormat="1" applyFont="1" applyBorder="1" applyAlignment="1">
      <alignment horizontal="center" vertical="center"/>
    </xf>
    <xf numFmtId="0" fontId="10" fillId="0" borderId="18" xfId="0" applyNumberFormat="1" applyFont="1" applyBorder="1" applyAlignment="1">
      <alignment horizontal="center" vertical="center"/>
    </xf>
    <xf numFmtId="0" fontId="10" fillId="0" borderId="23" xfId="0" applyNumberFormat="1" applyFont="1" applyBorder="1" applyAlignment="1">
      <alignment horizontal="center" vertical="center"/>
    </xf>
    <xf numFmtId="165" fontId="17" fillId="0" borderId="22" xfId="0" applyNumberFormat="1" applyFont="1" applyBorder="1" applyAlignment="1">
      <alignment horizontal="center" vertical="center"/>
    </xf>
    <xf numFmtId="3" fontId="10" fillId="0" borderId="25" xfId="3" applyNumberFormat="1" applyFont="1" applyBorder="1" applyAlignment="1">
      <alignment horizontal="center" vertical="center"/>
    </xf>
    <xf numFmtId="167" fontId="10" fillId="0" borderId="24" xfId="2" applyNumberFormat="1" applyFont="1" applyBorder="1" applyAlignment="1">
      <alignment horizontal="center" vertical="center"/>
    </xf>
    <xf numFmtId="0" fontId="15" fillId="0" borderId="6" xfId="0" applyNumberFormat="1" applyFont="1" applyBorder="1" applyAlignment="1">
      <alignment horizontal="center"/>
    </xf>
    <xf numFmtId="0" fontId="0" fillId="0" borderId="30" xfId="0" applyBorder="1"/>
    <xf numFmtId="0" fontId="0" fillId="0" borderId="27" xfId="0" applyBorder="1"/>
    <xf numFmtId="0" fontId="0" fillId="0" borderId="43" xfId="0" applyBorder="1"/>
    <xf numFmtId="0" fontId="10" fillId="0" borderId="46" xfId="2" applyNumberFormat="1" applyFont="1" applyBorder="1" applyAlignment="1">
      <alignment horizontal="center" vertical="center"/>
    </xf>
    <xf numFmtId="0" fontId="11" fillId="0" borderId="46" xfId="1" applyFont="1" applyBorder="1" applyAlignment="1">
      <alignment horizontal="center" vertical="center"/>
    </xf>
    <xf numFmtId="0" fontId="10" fillId="0" borderId="46" xfId="1" applyFont="1" applyBorder="1" applyAlignment="1">
      <alignment horizontal="center" vertical="center"/>
    </xf>
    <xf numFmtId="0" fontId="15" fillId="0" borderId="31" xfId="0" applyFont="1" applyBorder="1" applyAlignment="1">
      <alignment horizontal="center"/>
    </xf>
    <xf numFmtId="0" fontId="15" fillId="0" borderId="28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49" xfId="0" applyBorder="1"/>
    <xf numFmtId="0" fontId="0" fillId="0" borderId="28" xfId="0" applyBorder="1"/>
    <xf numFmtId="0" fontId="0" fillId="0" borderId="45" xfId="0" applyBorder="1"/>
    <xf numFmtId="0" fontId="0" fillId="0" borderId="14" xfId="0" applyNumberFormat="1" applyBorder="1" applyAlignment="1">
      <alignment horizontal="center"/>
    </xf>
    <xf numFmtId="0" fontId="0" fillId="0" borderId="19" xfId="0" applyNumberFormat="1" applyBorder="1" applyAlignment="1">
      <alignment horizontal="center"/>
    </xf>
    <xf numFmtId="0" fontId="0" fillId="0" borderId="24" xfId="0" applyNumberFormat="1" applyBorder="1" applyAlignment="1">
      <alignment horizontal="center"/>
    </xf>
    <xf numFmtId="167" fontId="10" fillId="0" borderId="27" xfId="2" applyNumberFormat="1" applyFont="1" applyBorder="1" applyAlignment="1">
      <alignment horizontal="center" vertical="center"/>
    </xf>
    <xf numFmtId="167" fontId="10" fillId="0" borderId="43" xfId="2" applyNumberFormat="1" applyFont="1" applyBorder="1" applyAlignment="1">
      <alignment horizontal="center" vertical="center"/>
    </xf>
    <xf numFmtId="0" fontId="10" fillId="0" borderId="20" xfId="2" applyNumberFormat="1" applyFont="1" applyBorder="1" applyAlignment="1">
      <alignment horizontal="center" vertical="center"/>
    </xf>
    <xf numFmtId="0" fontId="9" fillId="4" borderId="32" xfId="1" applyNumberFormat="1" applyFont="1" applyFill="1" applyBorder="1" applyAlignment="1">
      <alignment vertical="center"/>
    </xf>
    <xf numFmtId="0" fontId="10" fillId="0" borderId="25" xfId="2" applyNumberFormat="1" applyFont="1" applyBorder="1" applyAlignment="1">
      <alignment horizontal="center" vertical="center"/>
    </xf>
    <xf numFmtId="0" fontId="15" fillId="0" borderId="31" xfId="0" applyFont="1" applyBorder="1" applyAlignment="1">
      <alignment horizontal="center"/>
    </xf>
    <xf numFmtId="0" fontId="15" fillId="0" borderId="28" xfId="0" applyFont="1" applyBorder="1" applyAlignment="1">
      <alignment horizontal="center"/>
    </xf>
    <xf numFmtId="0" fontId="2" fillId="2" borderId="27" xfId="0" applyFont="1" applyFill="1" applyBorder="1"/>
    <xf numFmtId="9" fontId="10" fillId="0" borderId="21" xfId="4" applyFont="1" applyBorder="1" applyAlignment="1">
      <alignment horizontal="center" vertical="center"/>
    </xf>
    <xf numFmtId="0" fontId="15" fillId="0" borderId="31" xfId="0" applyFont="1" applyBorder="1" applyAlignment="1">
      <alignment horizontal="center"/>
    </xf>
    <xf numFmtId="0" fontId="15" fillId="0" borderId="28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0" fontId="9" fillId="2" borderId="32" xfId="0" applyFont="1" applyFill="1" applyBorder="1" applyAlignment="1">
      <alignment vertical="center"/>
    </xf>
    <xf numFmtId="0" fontId="9" fillId="4" borderId="35" xfId="0" applyFont="1" applyFill="1" applyBorder="1" applyAlignment="1">
      <alignment vertical="center"/>
    </xf>
    <xf numFmtId="14" fontId="9" fillId="4" borderId="35" xfId="0" applyNumberFormat="1" applyFont="1" applyFill="1" applyBorder="1" applyAlignment="1">
      <alignment vertical="center"/>
    </xf>
    <xf numFmtId="0" fontId="0" fillId="0" borderId="51" xfId="0" applyBorder="1" applyAlignment="1"/>
    <xf numFmtId="0" fontId="0" fillId="0" borderId="52" xfId="0" applyBorder="1" applyAlignment="1"/>
    <xf numFmtId="0" fontId="0" fillId="0" borderId="0" xfId="0"/>
    <xf numFmtId="168" fontId="10" fillId="0" borderId="17" xfId="1" applyNumberFormat="1" applyFont="1" applyBorder="1" applyAlignment="1">
      <alignment horizontal="center" vertical="center"/>
    </xf>
    <xf numFmtId="14" fontId="9" fillId="4" borderId="39" xfId="1" applyNumberFormat="1" applyFont="1" applyFill="1" applyBorder="1" applyAlignment="1">
      <alignment vertical="center"/>
    </xf>
    <xf numFmtId="168" fontId="10" fillId="0" borderId="40" xfId="1" applyNumberFormat="1" applyFont="1" applyBorder="1" applyAlignment="1">
      <alignment horizontal="center" vertical="center"/>
    </xf>
    <xf numFmtId="2" fontId="10" fillId="0" borderId="20" xfId="2" applyNumberFormat="1" applyFont="1" applyBorder="1" applyAlignment="1">
      <alignment horizontal="center" vertical="center"/>
    </xf>
    <xf numFmtId="0" fontId="0" fillId="0" borderId="0" xfId="0"/>
    <xf numFmtId="9" fontId="10" fillId="0" borderId="19" xfId="4" applyFont="1" applyBorder="1" applyAlignment="1">
      <alignment horizontal="center" vertical="center"/>
    </xf>
    <xf numFmtId="9" fontId="10" fillId="0" borderId="46" xfId="4" applyFont="1" applyBorder="1" applyAlignment="1">
      <alignment horizontal="center" vertical="center"/>
    </xf>
    <xf numFmtId="9" fontId="10" fillId="0" borderId="24" xfId="4" applyFont="1" applyBorder="1" applyAlignment="1">
      <alignment horizontal="center" vertical="center"/>
    </xf>
    <xf numFmtId="168" fontId="10" fillId="0" borderId="41" xfId="1" applyNumberFormat="1" applyFont="1" applyBorder="1" applyAlignment="1">
      <alignment horizontal="center" vertical="center"/>
    </xf>
    <xf numFmtId="2" fontId="10" fillId="0" borderId="25" xfId="2" applyNumberFormat="1" applyFont="1" applyBorder="1" applyAlignment="1">
      <alignment horizontal="center" vertical="center"/>
    </xf>
    <xf numFmtId="168" fontId="10" fillId="0" borderId="22" xfId="1" applyNumberFormat="1" applyFont="1" applyBorder="1" applyAlignment="1">
      <alignment horizontal="center" vertical="center"/>
    </xf>
    <xf numFmtId="2" fontId="0" fillId="0" borderId="14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0" fontId="0" fillId="0" borderId="0" xfId="0"/>
    <xf numFmtId="0" fontId="0" fillId="0" borderId="0" xfId="0"/>
    <xf numFmtId="39" fontId="10" fillId="0" borderId="19" xfId="5" applyNumberFormat="1" applyFont="1" applyBorder="1" applyAlignment="1">
      <alignment horizontal="center" vertical="center"/>
    </xf>
    <xf numFmtId="0" fontId="15" fillId="0" borderId="31" xfId="0" applyFont="1" applyBorder="1" applyAlignment="1">
      <alignment horizontal="center"/>
    </xf>
    <xf numFmtId="0" fontId="15" fillId="0" borderId="28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2" fontId="10" fillId="0" borderId="21" xfId="0" applyNumberFormat="1" applyFont="1" applyBorder="1" applyAlignment="1">
      <alignment horizontal="center" vertical="center"/>
    </xf>
    <xf numFmtId="2" fontId="10" fillId="0" borderId="26" xfId="0" applyNumberFormat="1" applyFont="1" applyBorder="1" applyAlignment="1">
      <alignment horizontal="center" vertical="center"/>
    </xf>
    <xf numFmtId="167" fontId="10" fillId="0" borderId="21" xfId="4" applyNumberFormat="1" applyFont="1" applyBorder="1" applyAlignment="1">
      <alignment horizontal="center" vertical="center"/>
    </xf>
    <xf numFmtId="167" fontId="10" fillId="0" borderId="26" xfId="4" applyNumberFormat="1" applyFont="1" applyBorder="1" applyAlignment="1">
      <alignment horizontal="center" vertical="center"/>
    </xf>
    <xf numFmtId="3" fontId="10" fillId="0" borderId="18" xfId="0" applyNumberFormat="1" applyFont="1" applyBorder="1" applyAlignment="1">
      <alignment horizontal="center" vertical="center"/>
    </xf>
    <xf numFmtId="3" fontId="10" fillId="0" borderId="19" xfId="0" applyNumberFormat="1" applyFont="1" applyBorder="1" applyAlignment="1">
      <alignment horizontal="center" vertical="center"/>
    </xf>
    <xf numFmtId="3" fontId="10" fillId="0" borderId="20" xfId="0" applyNumberFormat="1" applyFont="1" applyBorder="1" applyAlignment="1">
      <alignment horizontal="center" vertical="center"/>
    </xf>
    <xf numFmtId="3" fontId="10" fillId="0" borderId="21" xfId="0" applyNumberFormat="1" applyFont="1" applyBorder="1" applyAlignment="1">
      <alignment horizontal="center" vertical="center"/>
    </xf>
    <xf numFmtId="3" fontId="10" fillId="0" borderId="23" xfId="0" applyNumberFormat="1" applyFont="1" applyBorder="1" applyAlignment="1">
      <alignment horizontal="center" vertical="center"/>
    </xf>
    <xf numFmtId="3" fontId="10" fillId="0" borderId="24" xfId="0" applyNumberFormat="1" applyFont="1" applyBorder="1" applyAlignment="1">
      <alignment horizontal="center" vertical="center"/>
    </xf>
    <xf numFmtId="3" fontId="10" fillId="0" borderId="25" xfId="0" applyNumberFormat="1" applyFont="1" applyBorder="1" applyAlignment="1">
      <alignment horizontal="center" vertical="center"/>
    </xf>
    <xf numFmtId="3" fontId="10" fillId="0" borderId="26" xfId="0" applyNumberFormat="1" applyFont="1" applyBorder="1" applyAlignment="1">
      <alignment horizontal="center" vertical="center"/>
    </xf>
    <xf numFmtId="3" fontId="10" fillId="0" borderId="18" xfId="2" applyNumberFormat="1" applyFont="1" applyBorder="1" applyAlignment="1">
      <alignment horizontal="center" vertical="center"/>
    </xf>
    <xf numFmtId="3" fontId="10" fillId="0" borderId="23" xfId="2" applyNumberFormat="1" applyFont="1" applyBorder="1" applyAlignment="1">
      <alignment horizontal="center" vertical="center"/>
    </xf>
    <xf numFmtId="3" fontId="10" fillId="0" borderId="41" xfId="3" applyNumberFormat="1" applyFont="1" applyBorder="1" applyAlignment="1">
      <alignment horizontal="center" vertical="center"/>
    </xf>
    <xf numFmtId="0" fontId="9" fillId="4" borderId="52" xfId="1" applyFont="1" applyFill="1" applyBorder="1" applyAlignment="1">
      <alignment vertical="center"/>
    </xf>
    <xf numFmtId="0" fontId="9" fillId="4" borderId="49" xfId="1" applyFont="1" applyFill="1" applyBorder="1" applyAlignment="1">
      <alignment vertical="center"/>
    </xf>
    <xf numFmtId="0" fontId="10" fillId="0" borderId="40" xfId="0" applyNumberFormat="1" applyFont="1" applyBorder="1" applyAlignment="1">
      <alignment horizontal="center" vertical="center"/>
    </xf>
    <xf numFmtId="3" fontId="10" fillId="0" borderId="19" xfId="2" applyNumberFormat="1" applyFont="1" applyBorder="1" applyAlignment="1">
      <alignment horizontal="center" vertical="center"/>
    </xf>
    <xf numFmtId="0" fontId="10" fillId="0" borderId="35" xfId="0" applyNumberFormat="1" applyFont="1" applyBorder="1" applyAlignment="1">
      <alignment horizontal="center" vertical="center"/>
    </xf>
    <xf numFmtId="0" fontId="8" fillId="3" borderId="42" xfId="0" applyFont="1" applyFill="1" applyBorder="1" applyAlignment="1">
      <alignment horizontal="center" vertical="center" wrapText="1"/>
    </xf>
    <xf numFmtId="3" fontId="10" fillId="0" borderId="21" xfId="2" applyNumberFormat="1" applyFont="1" applyBorder="1" applyAlignment="1">
      <alignment horizontal="center" vertical="center"/>
    </xf>
    <xf numFmtId="3" fontId="10" fillId="0" borderId="26" xfId="2" applyNumberFormat="1" applyFont="1" applyBorder="1" applyAlignment="1">
      <alignment horizontal="center" vertical="center"/>
    </xf>
    <xf numFmtId="3" fontId="10" fillId="0" borderId="24" xfId="2" applyNumberFormat="1" applyFont="1" applyBorder="1" applyAlignment="1">
      <alignment horizontal="center" vertical="center"/>
    </xf>
    <xf numFmtId="0" fontId="10" fillId="0" borderId="44" xfId="0" applyNumberFormat="1" applyFont="1" applyBorder="1" applyAlignment="1">
      <alignment horizontal="center" vertical="center"/>
    </xf>
    <xf numFmtId="3" fontId="10" fillId="0" borderId="40" xfId="3" applyNumberFormat="1" applyFont="1" applyBorder="1" applyAlignment="1">
      <alignment horizontal="center" vertical="center"/>
    </xf>
    <xf numFmtId="0" fontId="10" fillId="0" borderId="17" xfId="1" applyNumberFormat="1" applyFont="1" applyBorder="1" applyAlignment="1">
      <alignment horizontal="center" vertical="center"/>
    </xf>
    <xf numFmtId="0" fontId="17" fillId="0" borderId="22" xfId="0" applyNumberFormat="1" applyFont="1" applyBorder="1" applyAlignment="1">
      <alignment horizontal="center" vertical="center"/>
    </xf>
    <xf numFmtId="0" fontId="17" fillId="0" borderId="17" xfId="0" applyNumberFormat="1" applyFont="1" applyBorder="1" applyAlignment="1">
      <alignment horizontal="center" vertical="center"/>
    </xf>
    <xf numFmtId="3" fontId="10" fillId="0" borderId="27" xfId="2" applyNumberFormat="1" applyFont="1" applyBorder="1" applyAlignment="1">
      <alignment horizontal="center" vertical="center"/>
    </xf>
    <xf numFmtId="0" fontId="0" fillId="0" borderId="0" xfId="0"/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6" fillId="2" borderId="4" xfId="0" applyFont="1" applyFill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2" fillId="2" borderId="27" xfId="0" applyFont="1" applyFill="1" applyBorder="1"/>
    <xf numFmtId="0" fontId="2" fillId="2" borderId="21" xfId="0" applyFont="1" applyFill="1" applyBorder="1"/>
    <xf numFmtId="0" fontId="0" fillId="0" borderId="27" xfId="0" applyBorder="1" applyAlignment="1"/>
    <xf numFmtId="0" fontId="0" fillId="0" borderId="28" xfId="0" applyBorder="1" applyAlignment="1"/>
    <xf numFmtId="0" fontId="0" fillId="0" borderId="21" xfId="0" applyBorder="1" applyAlignment="1"/>
    <xf numFmtId="2" fontId="15" fillId="6" borderId="28" xfId="0" applyNumberFormat="1" applyFont="1" applyFill="1" applyBorder="1" applyAlignment="1">
      <alignment horizontal="center"/>
    </xf>
    <xf numFmtId="2" fontId="15" fillId="6" borderId="21" xfId="0" applyNumberFormat="1" applyFont="1" applyFill="1" applyBorder="1" applyAlignment="1">
      <alignment horizontal="center"/>
    </xf>
    <xf numFmtId="0" fontId="13" fillId="3" borderId="43" xfId="0" applyFont="1" applyFill="1" applyBorder="1" applyAlignment="1">
      <alignment horizontal="left" vertical="center" wrapText="1"/>
    </xf>
    <xf numFmtId="0" fontId="13" fillId="3" borderId="45" xfId="0" applyFont="1" applyFill="1" applyBorder="1" applyAlignment="1">
      <alignment horizontal="left"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29" xfId="0" applyFont="1" applyFill="1" applyBorder="1" applyAlignment="1">
      <alignment horizontal="center" vertical="center" wrapText="1"/>
    </xf>
    <xf numFmtId="0" fontId="12" fillId="2" borderId="33" xfId="0" applyFont="1" applyFill="1" applyBorder="1" applyAlignment="1">
      <alignment horizontal="center" vertical="center" wrapText="1"/>
    </xf>
    <xf numFmtId="0" fontId="12" fillId="2" borderId="34" xfId="0" applyFont="1" applyFill="1" applyBorder="1" applyAlignment="1">
      <alignment horizontal="center" vertical="center" wrapText="1"/>
    </xf>
    <xf numFmtId="0" fontId="12" fillId="2" borderId="36" xfId="0" applyFont="1" applyFill="1" applyBorder="1" applyAlignment="1">
      <alignment horizontal="center" vertical="center" wrapText="1"/>
    </xf>
    <xf numFmtId="0" fontId="12" fillId="2" borderId="37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left" vertical="center" wrapText="1"/>
    </xf>
    <xf numFmtId="0" fontId="13" fillId="3" borderId="30" xfId="0" applyFont="1" applyFill="1" applyBorder="1" applyAlignment="1">
      <alignment horizontal="left" vertical="center" wrapText="1"/>
    </xf>
    <xf numFmtId="0" fontId="13" fillId="3" borderId="19" xfId="0" applyFont="1" applyFill="1" applyBorder="1" applyAlignment="1">
      <alignment horizontal="left" vertical="center" wrapText="1"/>
    </xf>
    <xf numFmtId="0" fontId="13" fillId="3" borderId="27" xfId="0" applyFont="1" applyFill="1" applyBorder="1" applyAlignment="1">
      <alignment horizontal="left" vertical="center" wrapText="1"/>
    </xf>
    <xf numFmtId="0" fontId="13" fillId="3" borderId="31" xfId="0" applyFont="1" applyFill="1" applyBorder="1" applyAlignment="1">
      <alignment horizontal="left" vertical="center" wrapText="1"/>
    </xf>
    <xf numFmtId="0" fontId="13" fillId="3" borderId="28" xfId="0" applyFont="1" applyFill="1" applyBorder="1" applyAlignment="1">
      <alignment horizontal="left" vertical="center" wrapText="1"/>
    </xf>
    <xf numFmtId="0" fontId="13" fillId="3" borderId="24" xfId="0" applyFont="1" applyFill="1" applyBorder="1" applyAlignment="1">
      <alignment horizontal="left" vertical="center" wrapText="1"/>
    </xf>
    <xf numFmtId="2" fontId="15" fillId="0" borderId="28" xfId="0" applyNumberFormat="1" applyFont="1" applyBorder="1" applyAlignment="1">
      <alignment horizontal="center"/>
    </xf>
    <xf numFmtId="2" fontId="15" fillId="0" borderId="21" xfId="0" applyNumberFormat="1" applyFont="1" applyBorder="1" applyAlignment="1">
      <alignment horizontal="center"/>
    </xf>
    <xf numFmtId="2" fontId="16" fillId="0" borderId="28" xfId="0" applyNumberFormat="1" applyFont="1" applyBorder="1" applyAlignment="1">
      <alignment horizontal="center"/>
    </xf>
    <xf numFmtId="2" fontId="16" fillId="0" borderId="21" xfId="0" applyNumberFormat="1" applyFont="1" applyBorder="1" applyAlignment="1">
      <alignment horizontal="center"/>
    </xf>
    <xf numFmtId="0" fontId="14" fillId="0" borderId="18" xfId="0" applyFont="1" applyFill="1" applyBorder="1" applyAlignment="1">
      <alignment vertical="center" wrapText="1"/>
    </xf>
    <xf numFmtId="0" fontId="14" fillId="0" borderId="19" xfId="0" applyFont="1" applyFill="1" applyBorder="1" applyAlignment="1">
      <alignment vertical="center" wrapText="1"/>
    </xf>
    <xf numFmtId="0" fontId="14" fillId="0" borderId="27" xfId="0" applyFont="1" applyFill="1" applyBorder="1" applyAlignment="1">
      <alignment vertical="center" wrapText="1"/>
    </xf>
    <xf numFmtId="0" fontId="14" fillId="0" borderId="20" xfId="0" applyFont="1" applyFill="1" applyBorder="1" applyAlignment="1">
      <alignment vertical="center" wrapText="1"/>
    </xf>
    <xf numFmtId="0" fontId="14" fillId="0" borderId="23" xfId="0" applyFont="1" applyFill="1" applyBorder="1" applyAlignment="1">
      <alignment vertical="center" wrapText="1"/>
    </xf>
    <xf numFmtId="0" fontId="14" fillId="0" borderId="24" xfId="0" applyFont="1" applyFill="1" applyBorder="1" applyAlignment="1">
      <alignment vertical="center" wrapText="1"/>
    </xf>
    <xf numFmtId="0" fontId="14" fillId="0" borderId="43" xfId="0" applyFont="1" applyFill="1" applyBorder="1" applyAlignment="1">
      <alignment vertical="center" wrapText="1"/>
    </xf>
    <xf numFmtId="0" fontId="14" fillId="0" borderId="25" xfId="0" applyFont="1" applyFill="1" applyBorder="1" applyAlignment="1">
      <alignment vertical="center" wrapText="1"/>
    </xf>
    <xf numFmtId="0" fontId="15" fillId="0" borderId="30" xfId="0" applyFont="1" applyBorder="1" applyAlignment="1">
      <alignment horizontal="center"/>
    </xf>
    <xf numFmtId="0" fontId="15" fillId="0" borderId="32" xfId="0" applyFont="1" applyBorder="1" applyAlignment="1">
      <alignment horizontal="center"/>
    </xf>
    <xf numFmtId="0" fontId="15" fillId="0" borderId="27" xfId="0" applyFont="1" applyBorder="1" applyAlignment="1">
      <alignment horizontal="center"/>
    </xf>
    <xf numFmtId="0" fontId="15" fillId="0" borderId="35" xfId="0" applyFont="1" applyBorder="1" applyAlignment="1">
      <alignment horizontal="center"/>
    </xf>
    <xf numFmtId="0" fontId="15" fillId="0" borderId="43" xfId="0" applyFont="1" applyBorder="1" applyAlignment="1">
      <alignment horizontal="center"/>
    </xf>
    <xf numFmtId="0" fontId="15" fillId="0" borderId="44" xfId="0" applyFont="1" applyBorder="1" applyAlignment="1">
      <alignment horizontal="center"/>
    </xf>
    <xf numFmtId="0" fontId="14" fillId="0" borderId="13" xfId="0" applyFont="1" applyFill="1" applyBorder="1" applyAlignment="1">
      <alignment vertical="center" wrapText="1"/>
    </xf>
    <xf numFmtId="0" fontId="14" fillId="0" borderId="14" xfId="0" applyFont="1" applyFill="1" applyBorder="1" applyAlignment="1">
      <alignment vertical="center" wrapText="1"/>
    </xf>
    <xf numFmtId="0" fontId="14" fillId="0" borderId="30" xfId="0" applyFont="1" applyFill="1" applyBorder="1" applyAlignment="1">
      <alignment vertical="center" wrapText="1"/>
    </xf>
    <xf numFmtId="0" fontId="14" fillId="0" borderId="15" xfId="0" applyFont="1" applyFill="1" applyBorder="1" applyAlignment="1">
      <alignment vertical="center" wrapText="1"/>
    </xf>
    <xf numFmtId="0" fontId="14" fillId="0" borderId="47" xfId="0" applyFont="1" applyFill="1" applyBorder="1" applyAlignment="1">
      <alignment vertical="center" wrapText="1"/>
    </xf>
    <xf numFmtId="0" fontId="14" fillId="0" borderId="46" xfId="0" applyFont="1" applyFill="1" applyBorder="1" applyAlignment="1">
      <alignment vertical="center" wrapText="1"/>
    </xf>
    <xf numFmtId="0" fontId="14" fillId="0" borderId="50" xfId="0" applyFont="1" applyFill="1" applyBorder="1" applyAlignment="1">
      <alignment vertical="center" wrapText="1"/>
    </xf>
    <xf numFmtId="0" fontId="14" fillId="0" borderId="48" xfId="0" applyFont="1" applyFill="1" applyBorder="1" applyAlignment="1">
      <alignment vertical="center" wrapText="1"/>
    </xf>
    <xf numFmtId="2" fontId="16" fillId="0" borderId="45" xfId="0" applyNumberFormat="1" applyFont="1" applyBorder="1" applyAlignment="1">
      <alignment horizontal="center"/>
    </xf>
    <xf numFmtId="2" fontId="16" fillId="0" borderId="26" xfId="0" applyNumberFormat="1" applyFont="1" applyBorder="1" applyAlignment="1">
      <alignment horizontal="center"/>
    </xf>
    <xf numFmtId="0" fontId="15" fillId="0" borderId="31" xfId="0" applyFont="1" applyBorder="1" applyAlignment="1">
      <alignment horizontal="center"/>
    </xf>
    <xf numFmtId="0" fontId="15" fillId="0" borderId="16" xfId="0" applyFont="1" applyBorder="1" applyAlignment="1">
      <alignment horizontal="center"/>
    </xf>
    <xf numFmtId="0" fontId="15" fillId="0" borderId="28" xfId="0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0" fontId="15" fillId="0" borderId="45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2" fontId="15" fillId="5" borderId="31" xfId="0" applyNumberFormat="1" applyFont="1" applyFill="1" applyBorder="1" applyAlignment="1">
      <alignment horizontal="center"/>
    </xf>
    <xf numFmtId="2" fontId="15" fillId="5" borderId="16" xfId="0" applyNumberFormat="1" applyFont="1" applyFill="1" applyBorder="1" applyAlignment="1">
      <alignment horizontal="center"/>
    </xf>
    <xf numFmtId="2" fontId="15" fillId="4" borderId="28" xfId="0" applyNumberFormat="1" applyFont="1" applyFill="1" applyBorder="1" applyAlignment="1">
      <alignment horizontal="center"/>
    </xf>
    <xf numFmtId="2" fontId="15" fillId="4" borderId="21" xfId="0" applyNumberFormat="1" applyFont="1" applyFill="1" applyBorder="1" applyAlignment="1">
      <alignment horizontal="center"/>
    </xf>
    <xf numFmtId="14" fontId="9" fillId="4" borderId="18" xfId="0" applyNumberFormat="1" applyFont="1" applyFill="1" applyBorder="1" applyAlignment="1">
      <alignment vertical="center"/>
    </xf>
    <xf numFmtId="14" fontId="9" fillId="4" borderId="20" xfId="0" applyNumberFormat="1" applyFont="1" applyFill="1" applyBorder="1" applyAlignment="1">
      <alignment vertical="center"/>
    </xf>
    <xf numFmtId="0" fontId="9" fillId="4" borderId="23" xfId="0" applyFont="1" applyFill="1" applyBorder="1" applyAlignment="1">
      <alignment vertical="center"/>
    </xf>
    <xf numFmtId="0" fontId="9" fillId="4" borderId="25" xfId="0" applyFont="1" applyFill="1" applyBorder="1" applyAlignment="1">
      <alignment vertical="center"/>
    </xf>
    <xf numFmtId="0" fontId="15" fillId="5" borderId="39" xfId="0" applyFont="1" applyFill="1" applyBorder="1" applyAlignment="1">
      <alignment horizontal="center"/>
    </xf>
    <xf numFmtId="0" fontId="15" fillId="5" borderId="31" xfId="0" applyFont="1" applyFill="1" applyBorder="1" applyAlignment="1">
      <alignment horizontal="center"/>
    </xf>
    <xf numFmtId="0" fontId="15" fillId="5" borderId="32" xfId="0" applyFont="1" applyFill="1" applyBorder="1" applyAlignment="1">
      <alignment horizontal="center"/>
    </xf>
    <xf numFmtId="0" fontId="15" fillId="4" borderId="40" xfId="0" applyFont="1" applyFill="1" applyBorder="1" applyAlignment="1">
      <alignment horizontal="center"/>
    </xf>
    <xf numFmtId="0" fontId="15" fillId="4" borderId="28" xfId="0" applyFont="1" applyFill="1" applyBorder="1" applyAlignment="1">
      <alignment horizontal="center"/>
    </xf>
    <xf numFmtId="0" fontId="15" fillId="4" borderId="35" xfId="0" applyFont="1" applyFill="1" applyBorder="1" applyAlignment="1">
      <alignment horizontal="center"/>
    </xf>
    <xf numFmtId="0" fontId="15" fillId="6" borderId="40" xfId="0" applyFont="1" applyFill="1" applyBorder="1" applyAlignment="1">
      <alignment horizontal="center"/>
    </xf>
    <xf numFmtId="0" fontId="15" fillId="6" borderId="28" xfId="0" applyFont="1" applyFill="1" applyBorder="1" applyAlignment="1">
      <alignment horizontal="center"/>
    </xf>
    <xf numFmtId="0" fontId="15" fillId="6" borderId="35" xfId="0" applyFont="1" applyFill="1" applyBorder="1" applyAlignment="1">
      <alignment horizontal="center"/>
    </xf>
    <xf numFmtId="0" fontId="15" fillId="0" borderId="40" xfId="0" applyFont="1" applyFill="1" applyBorder="1" applyAlignment="1">
      <alignment horizontal="center"/>
    </xf>
    <xf numFmtId="0" fontId="15" fillId="0" borderId="28" xfId="0" applyFont="1" applyFill="1" applyBorder="1" applyAlignment="1">
      <alignment horizontal="center"/>
    </xf>
    <xf numFmtId="0" fontId="15" fillId="0" borderId="35" xfId="0" applyFont="1" applyFill="1" applyBorder="1" applyAlignment="1">
      <alignment horizontal="center"/>
    </xf>
    <xf numFmtId="0" fontId="16" fillId="0" borderId="40" xfId="0" applyFont="1" applyFill="1" applyBorder="1" applyAlignment="1">
      <alignment horizontal="center"/>
    </xf>
    <xf numFmtId="0" fontId="16" fillId="0" borderId="28" xfId="0" applyFont="1" applyFill="1" applyBorder="1" applyAlignment="1">
      <alignment horizontal="center"/>
    </xf>
    <xf numFmtId="0" fontId="16" fillId="0" borderId="35" xfId="0" applyFont="1" applyFill="1" applyBorder="1" applyAlignment="1">
      <alignment horizontal="center"/>
    </xf>
    <xf numFmtId="0" fontId="16" fillId="0" borderId="41" xfId="0" applyFont="1" applyFill="1" applyBorder="1" applyAlignment="1">
      <alignment horizontal="center"/>
    </xf>
    <xf numFmtId="0" fontId="16" fillId="0" borderId="45" xfId="0" applyFont="1" applyFill="1" applyBorder="1" applyAlignment="1">
      <alignment horizontal="center"/>
    </xf>
    <xf numFmtId="0" fontId="16" fillId="0" borderId="44" xfId="0" applyFont="1" applyFill="1" applyBorder="1" applyAlignment="1">
      <alignment horizontal="center"/>
    </xf>
    <xf numFmtId="0" fontId="9" fillId="4" borderId="18" xfId="0" applyFont="1" applyFill="1" applyBorder="1" applyAlignment="1">
      <alignment vertical="center"/>
    </xf>
    <xf numFmtId="0" fontId="9" fillId="4" borderId="20" xfId="0" applyFont="1" applyFill="1" applyBorder="1" applyAlignment="1">
      <alignment vertical="center"/>
    </xf>
    <xf numFmtId="0" fontId="9" fillId="2" borderId="13" xfId="0" applyFont="1" applyFill="1" applyBorder="1" applyAlignment="1">
      <alignment vertical="center"/>
    </xf>
    <xf numFmtId="0" fontId="9" fillId="2" borderId="15" xfId="0" applyFont="1" applyFill="1" applyBorder="1" applyAlignment="1">
      <alignment vertical="center"/>
    </xf>
    <xf numFmtId="0" fontId="6" fillId="2" borderId="11" xfId="0" applyFont="1" applyFill="1" applyBorder="1" applyAlignment="1">
      <alignment horizontal="center"/>
    </xf>
    <xf numFmtId="0" fontId="13" fillId="3" borderId="20" xfId="0" applyFont="1" applyFill="1" applyBorder="1" applyAlignment="1">
      <alignment horizontal="left" vertical="center" wrapText="1"/>
    </xf>
    <xf numFmtId="0" fontId="14" fillId="0" borderId="21" xfId="0" applyFont="1" applyFill="1" applyBorder="1" applyAlignment="1">
      <alignment vertical="center" wrapText="1"/>
    </xf>
    <xf numFmtId="0" fontId="14" fillId="0" borderId="21" xfId="0" applyFont="1" applyFill="1" applyBorder="1" applyAlignment="1">
      <alignment horizontal="left" vertical="center" wrapText="1"/>
    </xf>
    <xf numFmtId="0" fontId="14" fillId="0" borderId="19" xfId="0" applyFont="1" applyFill="1" applyBorder="1" applyAlignment="1">
      <alignment horizontal="left" vertical="center" wrapText="1"/>
    </xf>
    <xf numFmtId="0" fontId="14" fillId="0" borderId="20" xfId="0" applyFont="1" applyFill="1" applyBorder="1" applyAlignment="1">
      <alignment horizontal="left" vertical="center" wrapText="1"/>
    </xf>
    <xf numFmtId="0" fontId="12" fillId="2" borderId="8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63" xfId="0" applyFont="1" applyFill="1" applyBorder="1" applyAlignment="1">
      <alignment horizontal="center" vertical="center" wrapText="1"/>
    </xf>
    <xf numFmtId="0" fontId="13" fillId="3" borderId="35" xfId="0" applyFont="1" applyFill="1" applyBorder="1" applyAlignment="1">
      <alignment horizontal="left" vertical="center" wrapText="1"/>
    </xf>
    <xf numFmtId="0" fontId="13" fillId="3" borderId="44" xfId="0" applyFont="1" applyFill="1" applyBorder="1" applyAlignment="1">
      <alignment horizontal="left" vertical="center" wrapText="1"/>
    </xf>
    <xf numFmtId="0" fontId="14" fillId="0" borderId="40" xfId="0" applyFont="1" applyFill="1" applyBorder="1" applyAlignment="1">
      <alignment vertical="center" wrapText="1"/>
    </xf>
    <xf numFmtId="0" fontId="14" fillId="0" borderId="28" xfId="0" applyFont="1" applyFill="1" applyBorder="1" applyAlignment="1">
      <alignment vertical="center" wrapText="1"/>
    </xf>
    <xf numFmtId="0" fontId="14" fillId="0" borderId="35" xfId="0" applyFont="1" applyFill="1" applyBorder="1" applyAlignment="1">
      <alignment vertical="center" wrapText="1"/>
    </xf>
    <xf numFmtId="0" fontId="14" fillId="0" borderId="41" xfId="0" applyFont="1" applyFill="1" applyBorder="1" applyAlignment="1">
      <alignment vertical="center" wrapText="1"/>
    </xf>
    <xf numFmtId="0" fontId="14" fillId="0" borderId="45" xfId="0" applyFont="1" applyFill="1" applyBorder="1" applyAlignment="1">
      <alignment vertical="center" wrapText="1"/>
    </xf>
    <xf numFmtId="0" fontId="14" fillId="0" borderId="44" xfId="0" applyFont="1" applyFill="1" applyBorder="1" applyAlignment="1">
      <alignment vertical="center" wrapText="1"/>
    </xf>
    <xf numFmtId="0" fontId="13" fillId="3" borderId="27" xfId="0" applyFont="1" applyFill="1" applyBorder="1" applyAlignment="1">
      <alignment horizontal="center" vertical="center" wrapText="1"/>
    </xf>
    <xf numFmtId="0" fontId="13" fillId="3" borderId="35" xfId="0" applyFont="1" applyFill="1" applyBorder="1" applyAlignment="1">
      <alignment horizontal="center" vertical="center" wrapText="1"/>
    </xf>
    <xf numFmtId="0" fontId="14" fillId="0" borderId="40" xfId="0" applyFont="1" applyFill="1" applyBorder="1" applyAlignment="1">
      <alignment horizontal="left" vertical="center" wrapText="1"/>
    </xf>
    <xf numFmtId="0" fontId="14" fillId="0" borderId="28" xfId="0" applyFont="1" applyFill="1" applyBorder="1" applyAlignment="1">
      <alignment horizontal="left" vertical="center" wrapText="1"/>
    </xf>
    <xf numFmtId="0" fontId="14" fillId="0" borderId="35" xfId="0" applyFont="1" applyFill="1" applyBorder="1" applyAlignment="1">
      <alignment horizontal="left" vertical="center" wrapText="1"/>
    </xf>
    <xf numFmtId="0" fontId="13" fillId="3" borderId="50" xfId="0" applyFont="1" applyFill="1" applyBorder="1" applyAlignment="1">
      <alignment horizontal="left" vertical="center" wrapText="1"/>
    </xf>
    <xf numFmtId="0" fontId="13" fillId="3" borderId="62" xfId="0" applyFont="1" applyFill="1" applyBorder="1" applyAlignment="1">
      <alignment horizontal="left" vertical="center" wrapText="1"/>
    </xf>
    <xf numFmtId="0" fontId="13" fillId="3" borderId="15" xfId="0" applyFont="1" applyFill="1" applyBorder="1" applyAlignment="1">
      <alignment horizontal="left" vertical="center" wrapText="1"/>
    </xf>
    <xf numFmtId="0" fontId="14" fillId="0" borderId="16" xfId="0" applyFont="1" applyFill="1" applyBorder="1" applyAlignment="1">
      <alignment vertical="center" wrapText="1"/>
    </xf>
    <xf numFmtId="2" fontId="15" fillId="4" borderId="40" xfId="0" applyNumberFormat="1" applyFont="1" applyFill="1" applyBorder="1" applyAlignment="1">
      <alignment horizontal="center"/>
    </xf>
    <xf numFmtId="2" fontId="15" fillId="6" borderId="40" xfId="0" applyNumberFormat="1" applyFont="1" applyFill="1" applyBorder="1" applyAlignment="1">
      <alignment horizontal="center"/>
    </xf>
    <xf numFmtId="2" fontId="15" fillId="0" borderId="40" xfId="0" applyNumberFormat="1" applyFont="1" applyBorder="1" applyAlignment="1">
      <alignment horizontal="center"/>
    </xf>
    <xf numFmtId="2" fontId="16" fillId="0" borderId="40" xfId="0" applyNumberFormat="1" applyFont="1" applyBorder="1" applyAlignment="1">
      <alignment horizontal="center"/>
    </xf>
  </cellXfs>
  <cellStyles count="47">
    <cellStyle name="20% - Accent1" xfId="24" builtinId="30" customBuiltin="1"/>
    <cellStyle name="20% - Accent2" xfId="28" builtinId="34" customBuiltin="1"/>
    <cellStyle name="20% - Accent3" xfId="32" builtinId="38" customBuiltin="1"/>
    <cellStyle name="20% - Accent4" xfId="36" builtinId="42" customBuiltin="1"/>
    <cellStyle name="20% - Accent5" xfId="40" builtinId="46" customBuiltin="1"/>
    <cellStyle name="20% - Accent6" xfId="44" builtinId="50" customBuiltin="1"/>
    <cellStyle name="40% - Accent1" xfId="25" builtinId="31" customBuiltin="1"/>
    <cellStyle name="40% - Accent2" xfId="29" builtinId="35" customBuiltin="1"/>
    <cellStyle name="40% - Accent3" xfId="33" builtinId="39" customBuiltin="1"/>
    <cellStyle name="40% - Accent4" xfId="37" builtinId="43" customBuiltin="1"/>
    <cellStyle name="40% - Accent5" xfId="41" builtinId="47" customBuiltin="1"/>
    <cellStyle name="40% - Accent6" xfId="45" builtinId="51" customBuiltin="1"/>
    <cellStyle name="60% - Accent1" xfId="26" builtinId="32" customBuiltin="1"/>
    <cellStyle name="60% - Accent2" xfId="30" builtinId="36" customBuiltin="1"/>
    <cellStyle name="60% - Accent3" xfId="34" builtinId="40" customBuiltin="1"/>
    <cellStyle name="60% - Accent4" xfId="38" builtinId="44" customBuiltin="1"/>
    <cellStyle name="60% - Accent5" xfId="42" builtinId="48" customBuiltin="1"/>
    <cellStyle name="60% - Accent6" xfId="46" builtinId="52" customBuiltin="1"/>
    <cellStyle name="Accent1" xfId="23" builtinId="29" customBuiltin="1"/>
    <cellStyle name="Accent2" xfId="27" builtinId="33" customBuiltin="1"/>
    <cellStyle name="Accent3" xfId="31" builtinId="37" customBuiltin="1"/>
    <cellStyle name="Accent4" xfId="35" builtinId="41" customBuiltin="1"/>
    <cellStyle name="Accent5" xfId="39" builtinId="45" customBuiltin="1"/>
    <cellStyle name="Accent6" xfId="43" builtinId="49" customBuiltin="1"/>
    <cellStyle name="Bad" xfId="12" builtinId="27" customBuiltin="1"/>
    <cellStyle name="Calculation" xfId="16" builtinId="22" customBuiltin="1"/>
    <cellStyle name="Check Cell" xfId="18" builtinId="23" customBuiltin="1"/>
    <cellStyle name="Comma" xfId="5" builtinId="3"/>
    <cellStyle name="Comma 2" xfId="3"/>
    <cellStyle name="Explanatory Text" xfId="21" builtinId="53" customBuiltin="1"/>
    <cellStyle name="Good" xfId="11" builtinId="26" customBuiltin="1"/>
    <cellStyle name="Heading 1" xfId="7" builtinId="16" customBuiltin="1"/>
    <cellStyle name="Heading 2" xfId="8" builtinId="17" customBuiltin="1"/>
    <cellStyle name="Heading 3" xfId="9" builtinId="18" customBuiltin="1"/>
    <cellStyle name="Heading 4" xfId="10" builtinId="19" customBuiltin="1"/>
    <cellStyle name="Input" xfId="14" builtinId="20" customBuiltin="1"/>
    <cellStyle name="Linked Cell" xfId="17" builtinId="24" customBuiltin="1"/>
    <cellStyle name="Neutral" xfId="13" builtinId="28" customBuiltin="1"/>
    <cellStyle name="Normal" xfId="0" builtinId="0"/>
    <cellStyle name="Normal 2" xfId="1"/>
    <cellStyle name="Note" xfId="20" builtinId="10" customBuiltin="1"/>
    <cellStyle name="Output" xfId="15" builtinId="21" customBuiltin="1"/>
    <cellStyle name="Percent" xfId="4" builtinId="5"/>
    <cellStyle name="Percent 2" xfId="2"/>
    <cellStyle name="Title" xfId="6" builtinId="15" customBuiltin="1"/>
    <cellStyle name="Total" xfId="22" builtinId="25" customBuiltin="1"/>
    <cellStyle name="Warning Text" xfId="19" builtinId="11" customBuiltin="1"/>
  </cellStyles>
  <dxfs count="20"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ont>
        <color rgb="FFFF0000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408216</xdr:colOff>
      <xdr:row>1</xdr:row>
      <xdr:rowOff>13606</xdr:rowOff>
    </xdr:from>
    <xdr:to>
      <xdr:col>21</xdr:col>
      <xdr:colOff>152402</xdr:colOff>
      <xdr:row>3</xdr:row>
      <xdr:rowOff>153760</xdr:rowOff>
    </xdr:to>
    <xdr:sp macro="[0]!Rotina_rank.rank" textlink="">
      <xdr:nvSpPr>
        <xdr:cNvPr id="2" name="Retângulo 1"/>
        <xdr:cNvSpPr/>
      </xdr:nvSpPr>
      <xdr:spPr>
        <a:xfrm>
          <a:off x="16464645" y="217713"/>
          <a:ext cx="1581150" cy="861333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408216</xdr:colOff>
      <xdr:row>1</xdr:row>
      <xdr:rowOff>13606</xdr:rowOff>
    </xdr:from>
    <xdr:to>
      <xdr:col>22</xdr:col>
      <xdr:colOff>152402</xdr:colOff>
      <xdr:row>3</xdr:row>
      <xdr:rowOff>153760</xdr:rowOff>
    </xdr:to>
    <xdr:sp macro="[0]!Monthly_Rotina_rank.rank" textlink="">
      <xdr:nvSpPr>
        <xdr:cNvPr id="2" name="Retângulo 1"/>
        <xdr:cNvSpPr/>
      </xdr:nvSpPr>
      <xdr:spPr>
        <a:xfrm>
          <a:off x="17400816" y="213631"/>
          <a:ext cx="1572986" cy="854529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408216</xdr:colOff>
      <xdr:row>1</xdr:row>
      <xdr:rowOff>13606</xdr:rowOff>
    </xdr:from>
    <xdr:to>
      <xdr:col>21</xdr:col>
      <xdr:colOff>152402</xdr:colOff>
      <xdr:row>3</xdr:row>
      <xdr:rowOff>153760</xdr:rowOff>
    </xdr:to>
    <xdr:sp macro="[0]!Rank_Yearly.rank" textlink="">
      <xdr:nvSpPr>
        <xdr:cNvPr id="2" name="Retângulo 1"/>
        <xdr:cNvSpPr/>
      </xdr:nvSpPr>
      <xdr:spPr>
        <a:xfrm>
          <a:off x="17400816" y="213631"/>
          <a:ext cx="1572986" cy="854529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408216</xdr:colOff>
      <xdr:row>1</xdr:row>
      <xdr:rowOff>13606</xdr:rowOff>
    </xdr:from>
    <xdr:to>
      <xdr:col>21</xdr:col>
      <xdr:colOff>152402</xdr:colOff>
      <xdr:row>2</xdr:row>
      <xdr:rowOff>0</xdr:rowOff>
    </xdr:to>
    <xdr:sp macro="[0]!Monthly_Rotina_rank2.rank" textlink="">
      <xdr:nvSpPr>
        <xdr:cNvPr id="2" name="Retângulo 1"/>
        <xdr:cNvSpPr/>
      </xdr:nvSpPr>
      <xdr:spPr>
        <a:xfrm>
          <a:off x="17400816" y="213631"/>
          <a:ext cx="1572986" cy="854529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408216</xdr:colOff>
      <xdr:row>1</xdr:row>
      <xdr:rowOff>13606</xdr:rowOff>
    </xdr:from>
    <xdr:to>
      <xdr:col>20</xdr:col>
      <xdr:colOff>152402</xdr:colOff>
      <xdr:row>3</xdr:row>
      <xdr:rowOff>153760</xdr:rowOff>
    </xdr:to>
    <xdr:sp macro="[0]!Rank_route.rank" textlink="">
      <xdr:nvSpPr>
        <xdr:cNvPr id="2" name="Retângulo 1"/>
        <xdr:cNvSpPr/>
      </xdr:nvSpPr>
      <xdr:spPr>
        <a:xfrm>
          <a:off x="17400816" y="213631"/>
          <a:ext cx="1572986" cy="854529"/>
        </a:xfrm>
        <a:prstGeom prst="rect">
          <a:avLst/>
        </a:prstGeom>
        <a:scene3d>
          <a:camera prst="orthographicFront"/>
          <a:lightRig rig="threePt" dir="t"/>
        </a:scene3d>
        <a:sp3d>
          <a:bevelT prst="convex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Rank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ort%20Master(Main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ekly Review"/>
      <sheetName val="Daily"/>
      <sheetName val="Accumulated Daily"/>
      <sheetName val="Main Brazil"/>
      <sheetName val="2014"/>
      <sheetName val="Plan1"/>
      <sheetName val="Teste"/>
      <sheetName val="Report Rodrigo"/>
      <sheetName val="Report Rodrigo (Final)"/>
      <sheetName val="Plan2"/>
    </sheetNames>
    <sheetDataSet>
      <sheetData sheetId="0"/>
      <sheetData sheetId="1"/>
      <sheetData sheetId="2"/>
      <sheetData sheetId="3"/>
      <sheetData sheetId="4"/>
      <sheetData sheetId="5"/>
      <sheetData sheetId="6">
        <row r="47">
          <cell r="N47" t="str">
            <v>Brazil</v>
          </cell>
          <cell r="O47">
            <v>4</v>
          </cell>
          <cell r="P47">
            <v>27.1</v>
          </cell>
          <cell r="Q47">
            <v>1</v>
          </cell>
          <cell r="R47">
            <v>131</v>
          </cell>
          <cell r="S47">
            <v>1</v>
          </cell>
        </row>
        <row r="48">
          <cell r="N48" t="str">
            <v>Colombia</v>
          </cell>
          <cell r="O48">
            <v>5</v>
          </cell>
          <cell r="P48">
            <v>17.079999999999998</v>
          </cell>
          <cell r="Q48">
            <v>5</v>
          </cell>
          <cell r="R48">
            <v>34</v>
          </cell>
          <cell r="S48">
            <v>1</v>
          </cell>
        </row>
        <row r="49">
          <cell r="N49" t="str">
            <v>Mexico</v>
          </cell>
          <cell r="O49">
            <v>6</v>
          </cell>
          <cell r="P49">
            <v>15.05</v>
          </cell>
          <cell r="Q49">
            <v>6</v>
          </cell>
          <cell r="R49">
            <v>14</v>
          </cell>
          <cell r="S49">
            <v>1</v>
          </cell>
        </row>
        <row r="50">
          <cell r="N50" t="str">
            <v>Malaysia + Singapore</v>
          </cell>
          <cell r="O50">
            <v>1</v>
          </cell>
          <cell r="P50">
            <v>52.06</v>
          </cell>
          <cell r="Q50">
            <v>3</v>
          </cell>
          <cell r="R50">
            <v>46</v>
          </cell>
          <cell r="S50">
            <v>1</v>
          </cell>
        </row>
        <row r="51">
          <cell r="N51" t="str">
            <v>Chile</v>
          </cell>
          <cell r="O51">
            <v>3</v>
          </cell>
          <cell r="P51">
            <v>40.090000000000003</v>
          </cell>
          <cell r="Q51">
            <v>2</v>
          </cell>
          <cell r="R51">
            <v>51</v>
          </cell>
          <cell r="S51">
            <v>1</v>
          </cell>
        </row>
        <row r="52">
          <cell r="N52" t="str">
            <v>Argentina + Uruguay</v>
          </cell>
          <cell r="O52">
            <v>7</v>
          </cell>
          <cell r="P52">
            <v>10.11</v>
          </cell>
          <cell r="Q52">
            <v>8</v>
          </cell>
          <cell r="R52">
            <v>6</v>
          </cell>
          <cell r="S52">
            <v>1</v>
          </cell>
        </row>
        <row r="53">
          <cell r="N53" t="str">
            <v>Philippines</v>
          </cell>
          <cell r="O53">
            <v>8</v>
          </cell>
          <cell r="P53">
            <v>10.029999999999999</v>
          </cell>
          <cell r="Q53">
            <v>9</v>
          </cell>
          <cell r="R53">
            <v>5</v>
          </cell>
          <cell r="S53">
            <v>1</v>
          </cell>
        </row>
        <row r="54">
          <cell r="N54" t="str">
            <v>Taiwan</v>
          </cell>
          <cell r="O54">
            <v>11</v>
          </cell>
          <cell r="P54">
            <v>0.02</v>
          </cell>
          <cell r="Q54">
            <v>10</v>
          </cell>
          <cell r="R54">
            <v>1</v>
          </cell>
          <cell r="S54">
            <v>1</v>
          </cell>
        </row>
        <row r="55">
          <cell r="N55" t="str">
            <v>United States</v>
          </cell>
          <cell r="O55">
            <v>10</v>
          </cell>
          <cell r="P55">
            <v>2.0099999999999998</v>
          </cell>
          <cell r="Q55">
            <v>7</v>
          </cell>
          <cell r="R55">
            <v>13</v>
          </cell>
          <cell r="S55">
            <v>1</v>
          </cell>
        </row>
        <row r="56">
          <cell r="N56" t="str">
            <v>India</v>
          </cell>
          <cell r="O56">
            <v>2</v>
          </cell>
          <cell r="P56">
            <v>48.07</v>
          </cell>
          <cell r="Q56">
            <v>4</v>
          </cell>
          <cell r="R56">
            <v>35</v>
          </cell>
          <cell r="S56">
            <v>1</v>
          </cell>
        </row>
        <row r="57">
          <cell r="N57" t="str">
            <v>Pakistan</v>
          </cell>
          <cell r="O57">
            <v>9</v>
          </cell>
          <cell r="P57">
            <v>3.04</v>
          </cell>
          <cell r="Q57">
            <v>11</v>
          </cell>
          <cell r="R57">
            <v>0</v>
          </cell>
          <cell r="S57">
            <v>1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1:U120"/>
  <sheetViews>
    <sheetView showGridLines="0" zoomScale="70" zoomScaleNormal="70" workbookViewId="0">
      <selection activeCell="E7" sqref="E7"/>
    </sheetView>
  </sheetViews>
  <sheetFormatPr defaultRowHeight="15"/>
  <cols>
    <col min="1" max="1" width="5.7109375" customWidth="1"/>
    <col min="2" max="2" width="20" customWidth="1"/>
    <col min="3" max="3" width="10.28515625" customWidth="1"/>
    <col min="4" max="4" width="11.85546875" customWidth="1"/>
    <col min="5" max="5" width="13.42578125" customWidth="1"/>
    <col min="6" max="6" width="13.5703125" customWidth="1"/>
    <col min="7" max="7" width="12.140625" customWidth="1"/>
    <col min="8" max="8" width="15.7109375" customWidth="1"/>
    <col min="9" max="10" width="11.5703125" customWidth="1"/>
    <col min="11" max="12" width="13.28515625" customWidth="1"/>
    <col min="13" max="13" width="16.7109375" customWidth="1"/>
    <col min="14" max="14" width="12.7109375" customWidth="1"/>
    <col min="15" max="15" width="14.85546875" customWidth="1"/>
    <col min="16" max="17" width="14.42578125" customWidth="1"/>
    <col min="18" max="18" width="14.85546875" customWidth="1"/>
  </cols>
  <sheetData>
    <row r="1" spans="2:21" ht="15.75" thickBot="1"/>
    <row r="2" spans="2:21" s="1" customFormat="1" ht="40.5" customHeight="1" thickBot="1">
      <c r="B2" s="179" t="s">
        <v>0</v>
      </c>
      <c r="C2" s="180"/>
      <c r="D2" s="180"/>
      <c r="E2" s="180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</row>
    <row r="3" spans="2:21" ht="15.75" thickBot="1"/>
    <row r="4" spans="2:21" ht="15.75" thickBot="1">
      <c r="B4" s="2" t="s">
        <v>1</v>
      </c>
      <c r="C4" s="3">
        <f ca="1">TODAY()</f>
        <v>42388</v>
      </c>
      <c r="D4" s="4"/>
      <c r="E4" s="4"/>
      <c r="K4" s="5"/>
      <c r="L4" s="5"/>
      <c r="M4" s="5"/>
      <c r="N4" s="5"/>
      <c r="O4" s="5"/>
    </row>
    <row r="5" spans="2:21" ht="15.75" thickBot="1">
      <c r="B5" s="6"/>
      <c r="C5" s="6"/>
      <c r="D5" s="6"/>
      <c r="E5" s="6"/>
      <c r="G5" s="5"/>
      <c r="H5" s="5"/>
      <c r="I5" s="5"/>
      <c r="J5" s="5"/>
      <c r="K5" s="5"/>
      <c r="L5" s="5"/>
      <c r="M5" s="5"/>
      <c r="N5" s="5"/>
      <c r="O5" s="5"/>
    </row>
    <row r="6" spans="2:21" ht="24" thickBot="1">
      <c r="B6" s="7"/>
      <c r="C6" s="182" t="s">
        <v>2</v>
      </c>
      <c r="D6" s="183"/>
      <c r="E6" s="183"/>
      <c r="F6" s="183"/>
      <c r="G6" s="183"/>
      <c r="H6" s="184"/>
      <c r="I6" s="185" t="s">
        <v>3</v>
      </c>
      <c r="J6" s="185"/>
      <c r="K6" s="185"/>
      <c r="L6" s="185"/>
      <c r="M6" s="185"/>
      <c r="N6" s="185"/>
      <c r="O6" s="185"/>
      <c r="P6" s="185"/>
      <c r="Q6" s="185"/>
      <c r="R6" s="186"/>
    </row>
    <row r="7" spans="2:21" ht="60" customHeight="1" thickBot="1">
      <c r="B7" s="8"/>
      <c r="C7" s="9" t="s">
        <v>4</v>
      </c>
      <c r="D7" s="10" t="s">
        <v>5</v>
      </c>
      <c r="E7" s="11" t="s">
        <v>103</v>
      </c>
      <c r="F7" s="12" t="s">
        <v>7</v>
      </c>
      <c r="G7" s="12" t="s">
        <v>8</v>
      </c>
      <c r="H7" s="13" t="s">
        <v>9</v>
      </c>
      <c r="I7" s="10" t="s">
        <v>10</v>
      </c>
      <c r="J7" s="10" t="s">
        <v>75</v>
      </c>
      <c r="K7" s="12" t="s">
        <v>11</v>
      </c>
      <c r="L7" s="12" t="s">
        <v>76</v>
      </c>
      <c r="M7" s="12" t="s">
        <v>12</v>
      </c>
      <c r="N7" s="12" t="s">
        <v>13</v>
      </c>
      <c r="O7" s="12" t="s">
        <v>14</v>
      </c>
      <c r="P7" s="12" t="s">
        <v>15</v>
      </c>
      <c r="Q7" s="13" t="s">
        <v>16</v>
      </c>
      <c r="R7" s="13" t="s">
        <v>73</v>
      </c>
    </row>
    <row r="8" spans="2:21">
      <c r="B8" s="42" t="s">
        <v>17</v>
      </c>
      <c r="C8" s="43"/>
      <c r="D8" s="44"/>
      <c r="E8" s="44"/>
      <c r="F8" s="44"/>
      <c r="G8" s="44"/>
      <c r="H8" s="45"/>
      <c r="I8" s="44"/>
      <c r="J8" s="44"/>
      <c r="K8" s="44"/>
      <c r="L8" s="44"/>
      <c r="M8" s="44"/>
      <c r="N8" s="44"/>
      <c r="O8" s="44"/>
      <c r="P8" s="44"/>
      <c r="Q8" s="44"/>
      <c r="R8" s="45"/>
      <c r="T8" s="17"/>
      <c r="U8" s="17"/>
    </row>
    <row r="9" spans="2:21">
      <c r="B9" s="46" t="s">
        <v>102</v>
      </c>
      <c r="C9" s="47">
        <v>74531</v>
      </c>
      <c r="D9" s="48">
        <v>20032</v>
      </c>
      <c r="E9" s="48">
        <v>28777</v>
      </c>
      <c r="F9" s="48">
        <v>110869</v>
      </c>
      <c r="G9" s="48">
        <v>263992</v>
      </c>
      <c r="H9" s="49">
        <v>56676289</v>
      </c>
      <c r="I9" s="50">
        <v>98492</v>
      </c>
      <c r="J9" s="50">
        <v>55121</v>
      </c>
      <c r="K9" s="48">
        <v>297918</v>
      </c>
      <c r="L9" s="48">
        <v>91756</v>
      </c>
      <c r="M9" s="51">
        <v>3.024794</v>
      </c>
      <c r="N9" s="52">
        <v>0.33374199999999998</v>
      </c>
      <c r="O9" s="51">
        <v>55.813339999999997</v>
      </c>
      <c r="P9" s="52">
        <v>2.7005999999999999E-2</v>
      </c>
      <c r="Q9" s="52">
        <v>7.6895000000000005E-2</v>
      </c>
      <c r="R9" s="48">
        <f>((I9+J9)+(K9+L9))/2*(O9*K9)</f>
        <v>4516833416094.4277</v>
      </c>
    </row>
    <row r="10" spans="2:21">
      <c r="B10" s="46" t="s">
        <v>101</v>
      </c>
      <c r="C10" s="47">
        <v>74415</v>
      </c>
      <c r="D10" s="48">
        <v>18917</v>
      </c>
      <c r="E10" s="48">
        <v>23418</v>
      </c>
      <c r="F10" s="48">
        <v>86621</v>
      </c>
      <c r="G10" s="48">
        <v>173788</v>
      </c>
      <c r="H10" s="49">
        <v>43707350</v>
      </c>
      <c r="I10" s="50">
        <v>71261</v>
      </c>
      <c r="J10" s="50">
        <v>36176</v>
      </c>
      <c r="K10" s="48">
        <v>216356</v>
      </c>
      <c r="L10" s="48">
        <v>56300</v>
      </c>
      <c r="M10" s="51">
        <v>3.0361069999999999</v>
      </c>
      <c r="N10" s="52">
        <v>0.33285799999999999</v>
      </c>
      <c r="O10" s="51">
        <v>55.597720000000002</v>
      </c>
      <c r="P10" s="52">
        <v>2.81E-2</v>
      </c>
      <c r="Q10" s="52">
        <v>8.7995000000000004E-2</v>
      </c>
      <c r="R10" s="48">
        <f t="shared" ref="R10:R11" si="0">((I10+J10)+(K10+L10))/2*(O10*K10)</f>
        <v>2286050402445.1372</v>
      </c>
    </row>
    <row r="11" spans="2:21">
      <c r="B11" s="53" t="s">
        <v>100</v>
      </c>
      <c r="C11" s="47">
        <v>63307</v>
      </c>
      <c r="D11" s="48">
        <v>13972</v>
      </c>
      <c r="E11" s="48">
        <v>17731</v>
      </c>
      <c r="F11" s="48">
        <v>61524</v>
      </c>
      <c r="G11" s="48">
        <v>132448</v>
      </c>
      <c r="H11" s="49">
        <v>37449786</v>
      </c>
      <c r="I11" s="50">
        <v>59922</v>
      </c>
      <c r="J11" s="50">
        <v>26536</v>
      </c>
      <c r="K11" s="48">
        <v>163052</v>
      </c>
      <c r="L11" s="98">
        <v>39339</v>
      </c>
      <c r="M11" s="54">
        <v>2.7210709999999998</v>
      </c>
      <c r="N11" s="52">
        <v>0.263374</v>
      </c>
      <c r="O11" s="54">
        <v>58.322119999999998</v>
      </c>
      <c r="P11" s="52">
        <v>2.7609000000000002E-2</v>
      </c>
      <c r="Q11" s="52">
        <v>6.1216E-2</v>
      </c>
      <c r="R11" s="48">
        <f t="shared" si="0"/>
        <v>1373410315687.2568</v>
      </c>
    </row>
    <row r="12" spans="2:21" ht="15.75" thickBot="1">
      <c r="B12" s="53" t="s">
        <v>99</v>
      </c>
      <c r="C12" s="47">
        <v>76351</v>
      </c>
      <c r="D12" s="48">
        <v>12766</v>
      </c>
      <c r="E12" s="48">
        <v>13108</v>
      </c>
      <c r="F12" s="48">
        <v>43679</v>
      </c>
      <c r="G12" s="48">
        <v>56937</v>
      </c>
      <c r="H12" s="49">
        <v>22950767</v>
      </c>
      <c r="I12" s="50">
        <v>25601</v>
      </c>
      <c r="J12" s="50">
        <v>14458</v>
      </c>
      <c r="K12" s="48">
        <v>58587</v>
      </c>
      <c r="L12" s="98">
        <v>22276</v>
      </c>
      <c r="M12" s="55">
        <v>2.288465</v>
      </c>
      <c r="N12" s="52">
        <v>0.21626899999999999</v>
      </c>
      <c r="O12" s="55">
        <v>76.221699999999998</v>
      </c>
      <c r="P12" s="52">
        <v>6.9999000000000006E-2</v>
      </c>
      <c r="Q12" s="52">
        <v>0.12929199999999999</v>
      </c>
      <c r="R12" s="48">
        <f>((I12+J12)+(K12+L12))/2*(O12*K12)</f>
        <v>269994686214.17191</v>
      </c>
    </row>
    <row r="13" spans="2:21">
      <c r="B13" s="56" t="s">
        <v>25</v>
      </c>
      <c r="C13" s="57"/>
      <c r="D13" s="58"/>
      <c r="E13" s="58"/>
      <c r="F13" s="58"/>
      <c r="G13" s="58"/>
      <c r="H13" s="59"/>
      <c r="I13" s="58"/>
      <c r="J13" s="58"/>
      <c r="K13" s="58"/>
      <c r="L13" s="58"/>
      <c r="M13" s="58"/>
      <c r="N13" s="58"/>
      <c r="O13" s="58"/>
      <c r="P13" s="58"/>
      <c r="Q13" s="58"/>
      <c r="R13" s="59"/>
    </row>
    <row r="14" spans="2:21">
      <c r="B14" s="46" t="str">
        <f>$B$9</f>
        <v>Fourth quarter</v>
      </c>
      <c r="C14" s="60">
        <v>4090</v>
      </c>
      <c r="D14" s="61">
        <v>278</v>
      </c>
      <c r="E14" s="61">
        <v>24</v>
      </c>
      <c r="F14" s="62">
        <v>806</v>
      </c>
      <c r="G14" s="62">
        <v>51</v>
      </c>
      <c r="H14" s="63">
        <v>1645313</v>
      </c>
      <c r="I14" s="64">
        <v>29</v>
      </c>
      <c r="J14" s="64">
        <v>28</v>
      </c>
      <c r="K14" s="61">
        <v>36</v>
      </c>
      <c r="L14" s="61">
        <v>27</v>
      </c>
      <c r="M14" s="51">
        <v>1.241379</v>
      </c>
      <c r="N14" s="52">
        <v>2.8798000000000001E-2</v>
      </c>
      <c r="O14" s="51">
        <v>561.61109999999996</v>
      </c>
      <c r="P14" s="52">
        <v>0.125</v>
      </c>
      <c r="Q14" s="52">
        <v>0.265625</v>
      </c>
      <c r="R14" s="48">
        <f>((I14+J14)+(K14+L14))/2*(O14*K14)</f>
        <v>1213079.976</v>
      </c>
    </row>
    <row r="15" spans="2:21">
      <c r="B15" s="46" t="str">
        <f>$B$10</f>
        <v>Third quarter</v>
      </c>
      <c r="C15" s="60">
        <v>5876</v>
      </c>
      <c r="D15" s="61">
        <v>305</v>
      </c>
      <c r="E15" s="61">
        <v>55</v>
      </c>
      <c r="F15" s="62">
        <v>953</v>
      </c>
      <c r="G15" s="62">
        <v>127</v>
      </c>
      <c r="H15" s="63">
        <v>2110075</v>
      </c>
      <c r="I15" s="64">
        <v>70</v>
      </c>
      <c r="J15" s="64">
        <v>63</v>
      </c>
      <c r="K15" s="61">
        <v>98</v>
      </c>
      <c r="L15" s="61">
        <v>73</v>
      </c>
      <c r="M15" s="51">
        <v>1.4</v>
      </c>
      <c r="N15" s="52">
        <v>3.0513999999999999E-2</v>
      </c>
      <c r="O15" s="51">
        <v>534.57140000000004</v>
      </c>
      <c r="P15" s="52">
        <v>0.113924</v>
      </c>
      <c r="Q15" s="52">
        <v>0.18987299999999999</v>
      </c>
      <c r="R15" s="48">
        <f t="shared" ref="R15:R17" si="1">((I15+J15)+(K15+L15))/2*(O15*K15)</f>
        <v>7962975.5744000012</v>
      </c>
    </row>
    <row r="16" spans="2:21">
      <c r="B16" s="46" t="str">
        <f>$B$11</f>
        <v>Second quarter</v>
      </c>
      <c r="C16" s="60">
        <v>6579</v>
      </c>
      <c r="D16" s="61">
        <v>844</v>
      </c>
      <c r="E16" s="61">
        <v>517</v>
      </c>
      <c r="F16" s="62">
        <v>2319</v>
      </c>
      <c r="G16" s="62">
        <v>1049</v>
      </c>
      <c r="H16" s="63">
        <v>3020904</v>
      </c>
      <c r="I16" s="64">
        <v>616</v>
      </c>
      <c r="J16" s="64">
        <v>421</v>
      </c>
      <c r="K16" s="65">
        <v>1273</v>
      </c>
      <c r="L16" s="99">
        <v>574</v>
      </c>
      <c r="M16" s="54">
        <v>2.0665580000000001</v>
      </c>
      <c r="N16" s="52">
        <v>0.14213200000000001</v>
      </c>
      <c r="O16" s="54">
        <v>179.0196</v>
      </c>
      <c r="P16" s="52">
        <v>8.0023999999999998E-2</v>
      </c>
      <c r="Q16" s="52">
        <v>0.13159499999999999</v>
      </c>
      <c r="R16" s="48">
        <f>((I16+J16)+(K16+L16))/2*(O16*K16)</f>
        <v>328620193.05360001</v>
      </c>
    </row>
    <row r="17" spans="2:21" ht="15.75" thickBot="1">
      <c r="B17" s="46" t="str">
        <f>$B$12</f>
        <v>First quarter</v>
      </c>
      <c r="C17" s="60">
        <v>4650</v>
      </c>
      <c r="D17" s="61">
        <v>538</v>
      </c>
      <c r="E17" s="61">
        <v>216</v>
      </c>
      <c r="F17" s="62">
        <v>1616</v>
      </c>
      <c r="G17" s="62">
        <v>444</v>
      </c>
      <c r="H17" s="63">
        <v>1748706</v>
      </c>
      <c r="I17" s="66">
        <v>248</v>
      </c>
      <c r="J17" s="66">
        <v>161</v>
      </c>
      <c r="K17" s="67">
        <v>436</v>
      </c>
      <c r="L17" s="67">
        <v>200</v>
      </c>
      <c r="M17" s="55">
        <v>1.758065</v>
      </c>
      <c r="N17" s="52">
        <v>9.9918999999999994E-2</v>
      </c>
      <c r="O17" s="55">
        <v>238.54820000000001</v>
      </c>
      <c r="P17" s="52">
        <v>7.0370000000000002E-2</v>
      </c>
      <c r="Q17" s="52">
        <v>0.109259</v>
      </c>
      <c r="R17" s="48">
        <f t="shared" si="1"/>
        <v>54343665.442000002</v>
      </c>
    </row>
    <row r="18" spans="2:21">
      <c r="B18" s="56" t="s">
        <v>24</v>
      </c>
      <c r="C18" s="57"/>
      <c r="D18" s="58"/>
      <c r="E18" s="58"/>
      <c r="F18" s="58"/>
      <c r="G18" s="58"/>
      <c r="H18" s="59"/>
      <c r="I18" s="58"/>
      <c r="J18" s="58"/>
      <c r="K18" s="58"/>
      <c r="L18" s="58"/>
      <c r="M18" s="58"/>
      <c r="N18" s="58"/>
      <c r="O18" s="58"/>
      <c r="P18" s="58"/>
      <c r="Q18" s="58"/>
      <c r="R18" s="59"/>
      <c r="T18" s="17"/>
      <c r="U18" s="17"/>
    </row>
    <row r="19" spans="2:21">
      <c r="B19" s="46" t="str">
        <f>$B$9</f>
        <v>Fourth quarter</v>
      </c>
      <c r="C19" s="60">
        <v>529</v>
      </c>
      <c r="D19" s="61">
        <v>161</v>
      </c>
      <c r="E19" s="61">
        <v>28</v>
      </c>
      <c r="F19" s="61">
        <v>662</v>
      </c>
      <c r="G19" s="61">
        <v>37</v>
      </c>
      <c r="H19" s="63">
        <v>734032</v>
      </c>
      <c r="I19" s="64">
        <v>29</v>
      </c>
      <c r="J19" s="64">
        <v>25</v>
      </c>
      <c r="K19" s="61">
        <v>37</v>
      </c>
      <c r="L19" s="61">
        <v>26</v>
      </c>
      <c r="M19" s="51">
        <v>1.2758620000000001</v>
      </c>
      <c r="N19" s="52">
        <v>7.3660000000000002E-3</v>
      </c>
      <c r="O19" s="51">
        <v>152.67570000000001</v>
      </c>
      <c r="P19" s="52">
        <v>0.109375</v>
      </c>
      <c r="Q19" s="52">
        <v>0.203125</v>
      </c>
      <c r="R19" s="48">
        <f>((I19+J19)+(K19+L19))/2*(O19*K19)</f>
        <v>330466.55265000003</v>
      </c>
    </row>
    <row r="20" spans="2:21">
      <c r="B20" s="46" t="str">
        <f>$B$10</f>
        <v>Third quarter</v>
      </c>
      <c r="C20" s="60">
        <v>1973</v>
      </c>
      <c r="D20" s="61">
        <v>368</v>
      </c>
      <c r="E20" s="61">
        <v>313</v>
      </c>
      <c r="F20" s="61">
        <v>1660</v>
      </c>
      <c r="G20" s="61">
        <v>3984</v>
      </c>
      <c r="H20" s="63">
        <v>1750438</v>
      </c>
      <c r="I20" s="64">
        <v>1977</v>
      </c>
      <c r="J20" s="64">
        <v>305</v>
      </c>
      <c r="K20" s="61">
        <v>5733</v>
      </c>
      <c r="L20" s="61">
        <v>375</v>
      </c>
      <c r="M20" s="51">
        <v>2.899848</v>
      </c>
      <c r="N20" s="52">
        <v>0.201652</v>
      </c>
      <c r="O20" s="51">
        <v>56.288849999999996</v>
      </c>
      <c r="P20" s="52">
        <v>1.5779999999999999E-2</v>
      </c>
      <c r="Q20" s="52">
        <v>1.9640999999999999E-2</v>
      </c>
      <c r="R20" s="48">
        <f t="shared" ref="R20:R22" si="2">((I20+J20)+(K20+L20))/2*(O20*K20)</f>
        <v>1353743183.72475</v>
      </c>
    </row>
    <row r="21" spans="2:21">
      <c r="B21" s="46" t="str">
        <f>$B$11</f>
        <v>Second quarter</v>
      </c>
      <c r="C21" s="60">
        <v>3127</v>
      </c>
      <c r="D21" s="61">
        <v>455</v>
      </c>
      <c r="E21" s="61">
        <v>1210</v>
      </c>
      <c r="F21" s="61">
        <v>2412</v>
      </c>
      <c r="G21" s="61">
        <v>3264</v>
      </c>
      <c r="H21" s="63">
        <v>1448274</v>
      </c>
      <c r="I21" s="64">
        <v>2138</v>
      </c>
      <c r="J21" s="64">
        <v>413</v>
      </c>
      <c r="K21" s="61">
        <v>6590</v>
      </c>
      <c r="L21" s="100">
        <v>580</v>
      </c>
      <c r="M21" s="54">
        <v>3.0823200000000002</v>
      </c>
      <c r="N21" s="52">
        <v>0.228126</v>
      </c>
      <c r="O21" s="54">
        <v>40.174509999999998</v>
      </c>
      <c r="P21" s="52">
        <v>2.2366E-2</v>
      </c>
      <c r="Q21" s="52">
        <v>3.0824000000000001E-2</v>
      </c>
      <c r="R21" s="48">
        <f>((I21+J21)+(K21+L21))/2*(O21*K21)</f>
        <v>1286817476.58445</v>
      </c>
    </row>
    <row r="22" spans="2:21" ht="15.75" thickBot="1">
      <c r="B22" s="46" t="str">
        <f>$B$12</f>
        <v>First quarter</v>
      </c>
      <c r="C22" s="68">
        <v>3698</v>
      </c>
      <c r="D22" s="67">
        <v>404</v>
      </c>
      <c r="E22" s="67">
        <v>600</v>
      </c>
      <c r="F22" s="67">
        <v>1404</v>
      </c>
      <c r="G22" s="67">
        <v>747</v>
      </c>
      <c r="H22" s="69">
        <v>873086</v>
      </c>
      <c r="I22" s="66">
        <v>554</v>
      </c>
      <c r="J22" s="66">
        <v>273</v>
      </c>
      <c r="K22" s="67">
        <v>1173</v>
      </c>
      <c r="L22" s="67">
        <v>363</v>
      </c>
      <c r="M22" s="55">
        <v>2.1173289999999998</v>
      </c>
      <c r="N22" s="52">
        <v>0.101206</v>
      </c>
      <c r="O22" s="55">
        <v>50.399830000000001</v>
      </c>
      <c r="P22" s="52">
        <v>2.1978000000000001E-2</v>
      </c>
      <c r="Q22" s="52">
        <v>5.3374999999999999E-2</v>
      </c>
      <c r="R22" s="48">
        <f t="shared" si="2"/>
        <v>69849099.197085008</v>
      </c>
    </row>
    <row r="23" spans="2:21">
      <c r="B23" s="56" t="s">
        <v>23</v>
      </c>
      <c r="C23" s="57"/>
      <c r="D23" s="58"/>
      <c r="E23" s="58"/>
      <c r="F23" s="58"/>
      <c r="G23" s="58"/>
      <c r="H23" s="59"/>
      <c r="I23" s="58"/>
      <c r="J23" s="58"/>
      <c r="K23" s="58"/>
      <c r="L23" s="58"/>
      <c r="M23" s="58"/>
      <c r="N23" s="58"/>
      <c r="O23" s="58"/>
      <c r="P23" s="58"/>
      <c r="Q23" s="58"/>
      <c r="R23" s="59"/>
    </row>
    <row r="24" spans="2:21">
      <c r="B24" s="46" t="str">
        <f>$B$9</f>
        <v>Fourth quarter</v>
      </c>
      <c r="C24" s="60">
        <v>365</v>
      </c>
      <c r="D24" s="61">
        <v>215</v>
      </c>
      <c r="E24" s="61">
        <v>54</v>
      </c>
      <c r="F24" s="61">
        <v>1084</v>
      </c>
      <c r="G24" s="61">
        <v>227</v>
      </c>
      <c r="H24" s="63">
        <v>371297</v>
      </c>
      <c r="I24" s="64">
        <v>166</v>
      </c>
      <c r="J24" s="64">
        <v>72</v>
      </c>
      <c r="K24" s="61">
        <v>210</v>
      </c>
      <c r="L24" s="61">
        <v>72</v>
      </c>
      <c r="M24" s="51">
        <v>1.2650600000000001</v>
      </c>
      <c r="N24" s="52">
        <v>3.6283999999999997E-2</v>
      </c>
      <c r="O24" s="51">
        <v>18.733329999999999</v>
      </c>
      <c r="P24" s="52">
        <v>6.3909999999999995E-2</v>
      </c>
      <c r="Q24" s="52">
        <v>0.12030100000000001</v>
      </c>
      <c r="R24" s="48">
        <f>((I24+J24)+(K24+L24))/2*(O24*K24)</f>
        <v>1022839.818</v>
      </c>
    </row>
    <row r="25" spans="2:21">
      <c r="B25" s="46" t="str">
        <f>$B$10</f>
        <v>Third quarter</v>
      </c>
      <c r="C25" s="60">
        <v>603</v>
      </c>
      <c r="D25" s="61">
        <v>321</v>
      </c>
      <c r="E25" s="61">
        <v>113</v>
      </c>
      <c r="F25" s="61">
        <v>1495</v>
      </c>
      <c r="G25" s="61">
        <v>416</v>
      </c>
      <c r="H25" s="63">
        <v>522067</v>
      </c>
      <c r="I25" s="64">
        <v>424</v>
      </c>
      <c r="J25" s="64">
        <v>190</v>
      </c>
      <c r="K25" s="61">
        <v>756</v>
      </c>
      <c r="L25" s="61">
        <v>193</v>
      </c>
      <c r="M25" s="51">
        <v>1.7830189999999999</v>
      </c>
      <c r="N25" s="52">
        <v>5.6737999999999997E-2</v>
      </c>
      <c r="O25" s="51">
        <v>12.044969999999999</v>
      </c>
      <c r="P25" s="52">
        <v>1.5719E-2</v>
      </c>
      <c r="Q25" s="52">
        <v>5.1995E-2</v>
      </c>
      <c r="R25" s="48">
        <f t="shared" ref="R25:R27" si="3">((I25+J25)+(K25+L25))/2*(O25*K25)</f>
        <v>7116336.9055799991</v>
      </c>
    </row>
    <row r="26" spans="2:21">
      <c r="B26" s="46" t="str">
        <f>$B$11</f>
        <v>Second quarter</v>
      </c>
      <c r="C26" s="60">
        <v>2733</v>
      </c>
      <c r="D26" s="61">
        <v>877</v>
      </c>
      <c r="E26" s="61">
        <v>506</v>
      </c>
      <c r="F26" s="61">
        <v>3580</v>
      </c>
      <c r="G26" s="61">
        <v>7981</v>
      </c>
      <c r="H26" s="63">
        <v>1503185</v>
      </c>
      <c r="I26" s="64">
        <v>3282</v>
      </c>
      <c r="J26" s="64">
        <v>792</v>
      </c>
      <c r="K26" s="61">
        <v>8755</v>
      </c>
      <c r="L26" s="100">
        <v>722</v>
      </c>
      <c r="M26" s="54">
        <v>2.6675810000000002</v>
      </c>
      <c r="N26" s="52">
        <v>0.16786000000000001</v>
      </c>
      <c r="O26" s="54">
        <v>23.48132</v>
      </c>
      <c r="P26" s="52">
        <v>1.6546000000000002E-2</v>
      </c>
      <c r="Q26" s="52">
        <v>2.9739000000000002E-2</v>
      </c>
      <c r="R26" s="48">
        <f>((I26+J26)+(K26+L26))/2*(O26*K26)</f>
        <v>1392900220.4433</v>
      </c>
    </row>
    <row r="27" spans="2:21" ht="15.75" thickBot="1">
      <c r="B27" s="46" t="str">
        <f>$B$12</f>
        <v>First quarter</v>
      </c>
      <c r="C27" s="60">
        <v>5288</v>
      </c>
      <c r="D27" s="61">
        <v>765</v>
      </c>
      <c r="E27" s="61">
        <v>748</v>
      </c>
      <c r="F27" s="61">
        <v>2758</v>
      </c>
      <c r="G27" s="61">
        <v>3471</v>
      </c>
      <c r="H27" s="63">
        <v>635393</v>
      </c>
      <c r="I27" s="64">
        <v>1520</v>
      </c>
      <c r="J27" s="64">
        <v>675</v>
      </c>
      <c r="K27" s="61">
        <v>3563</v>
      </c>
      <c r="L27" s="100">
        <v>834</v>
      </c>
      <c r="M27" s="55">
        <v>2.3440789999999998</v>
      </c>
      <c r="N27" s="52">
        <v>0.15302499999999999</v>
      </c>
      <c r="O27" s="55">
        <v>18.522310000000001</v>
      </c>
      <c r="P27" s="52">
        <v>3.5811000000000003E-2</v>
      </c>
      <c r="Q27" s="52">
        <v>6.2978999999999993E-2</v>
      </c>
      <c r="R27" s="48">
        <f t="shared" si="3"/>
        <v>217519488.78688005</v>
      </c>
    </row>
    <row r="28" spans="2:21">
      <c r="B28" s="70" t="s">
        <v>27</v>
      </c>
      <c r="C28" s="57"/>
      <c r="D28" s="58"/>
      <c r="E28" s="58"/>
      <c r="F28" s="58"/>
      <c r="G28" s="58"/>
      <c r="H28" s="59"/>
      <c r="I28" s="58"/>
      <c r="J28" s="58"/>
      <c r="K28" s="58"/>
      <c r="L28" s="58"/>
      <c r="M28" s="58"/>
      <c r="N28" s="58"/>
      <c r="O28" s="58"/>
      <c r="P28" s="58"/>
      <c r="Q28" s="58"/>
      <c r="R28" s="59"/>
      <c r="T28" s="17"/>
      <c r="U28" s="17"/>
    </row>
    <row r="29" spans="2:21">
      <c r="B29" s="46" t="str">
        <f>$B$9</f>
        <v>Fourth quarter</v>
      </c>
      <c r="C29" s="60">
        <v>8377</v>
      </c>
      <c r="D29" s="61">
        <v>2607</v>
      </c>
      <c r="E29" s="61">
        <v>2651</v>
      </c>
      <c r="F29" s="61">
        <v>9172</v>
      </c>
      <c r="G29" s="61">
        <v>44089</v>
      </c>
      <c r="H29" s="63">
        <v>8828137</v>
      </c>
      <c r="I29" s="71">
        <v>16670</v>
      </c>
      <c r="J29" s="71">
        <v>13815</v>
      </c>
      <c r="K29" s="62">
        <v>47062</v>
      </c>
      <c r="L29" s="62">
        <v>30451</v>
      </c>
      <c r="M29" s="51">
        <v>2.8231549999999999</v>
      </c>
      <c r="N29" s="52">
        <v>0.164627</v>
      </c>
      <c r="O29" s="51">
        <v>31.557200000000002</v>
      </c>
      <c r="P29" s="52">
        <v>1.5987000000000001E-2</v>
      </c>
      <c r="Q29" s="52">
        <v>0.118312</v>
      </c>
      <c r="R29" s="48">
        <f>((I29+J29)+(K29+L29))/2*(O29*K29)</f>
        <v>80196341960.653595</v>
      </c>
    </row>
    <row r="30" spans="2:21">
      <c r="B30" s="46" t="str">
        <f>$B$10</f>
        <v>Third quarter</v>
      </c>
      <c r="C30" s="60">
        <v>8249</v>
      </c>
      <c r="D30" s="61">
        <v>1525</v>
      </c>
      <c r="E30" s="61">
        <v>1600</v>
      </c>
      <c r="F30" s="61">
        <v>5776</v>
      </c>
      <c r="G30" s="61">
        <v>16282</v>
      </c>
      <c r="H30" s="63">
        <v>5143062</v>
      </c>
      <c r="I30" s="71">
        <v>9176</v>
      </c>
      <c r="J30" s="71">
        <v>5007</v>
      </c>
      <c r="K30" s="62">
        <v>25679</v>
      </c>
      <c r="L30" s="62">
        <v>9154</v>
      </c>
      <c r="M30" s="51">
        <v>2.7984960000000001</v>
      </c>
      <c r="N30" s="52">
        <v>0.30422399999999999</v>
      </c>
      <c r="O30" s="51">
        <v>51.955410000000001</v>
      </c>
      <c r="P30" s="52">
        <v>4.5761000000000003E-2</v>
      </c>
      <c r="Q30" s="52">
        <v>0.19908799999999999</v>
      </c>
      <c r="R30" s="48">
        <f t="shared" ref="R30:R32" si="4">((I30+J30)+(K30+L30))/2*(O30*K30)</f>
        <v>32697666151.842117</v>
      </c>
    </row>
    <row r="31" spans="2:21">
      <c r="B31" s="46" t="str">
        <f>$B$11</f>
        <v>Second quarter</v>
      </c>
      <c r="C31" s="60">
        <v>5312</v>
      </c>
      <c r="D31" s="61">
        <v>884</v>
      </c>
      <c r="E31" s="61">
        <v>543</v>
      </c>
      <c r="F31" s="61">
        <v>2123</v>
      </c>
      <c r="G31" s="61">
        <v>8957</v>
      </c>
      <c r="H31" s="63">
        <v>3205421</v>
      </c>
      <c r="I31" s="64">
        <v>6193</v>
      </c>
      <c r="J31" s="64">
        <v>774</v>
      </c>
      <c r="K31" s="61">
        <v>10737</v>
      </c>
      <c r="L31" s="100">
        <v>847</v>
      </c>
      <c r="M31" s="54">
        <v>1.7337320000000001</v>
      </c>
      <c r="N31" s="52">
        <v>0.164436</v>
      </c>
      <c r="O31" s="54">
        <v>35.520629999999997</v>
      </c>
      <c r="P31" s="52">
        <v>1.3291000000000001E-2</v>
      </c>
      <c r="Q31" s="52">
        <v>2.1464E-2</v>
      </c>
      <c r="R31" s="48">
        <f>((I31+J31)+(K31+L31))/2*(O31*K31)</f>
        <v>3537536607.4774051</v>
      </c>
    </row>
    <row r="32" spans="2:21" ht="15.75" thickBot="1">
      <c r="B32" s="46" t="str">
        <f>$B$12</f>
        <v>First quarter</v>
      </c>
      <c r="C32" s="60">
        <v>10070</v>
      </c>
      <c r="D32" s="61">
        <v>895</v>
      </c>
      <c r="E32" s="61">
        <v>515</v>
      </c>
      <c r="F32" s="61">
        <v>2179</v>
      </c>
      <c r="G32" s="61">
        <v>2576</v>
      </c>
      <c r="H32" s="63">
        <v>1150292</v>
      </c>
      <c r="I32" s="66">
        <v>1685</v>
      </c>
      <c r="J32" s="66">
        <v>618</v>
      </c>
      <c r="K32" s="67">
        <v>3729</v>
      </c>
      <c r="L32" s="67">
        <v>712</v>
      </c>
      <c r="M32" s="55">
        <v>2.2130559999999999</v>
      </c>
      <c r="N32" s="52">
        <v>0.129436</v>
      </c>
      <c r="O32" s="55">
        <v>31.377849999999999</v>
      </c>
      <c r="P32" s="52">
        <v>4.1396000000000002E-2</v>
      </c>
      <c r="Q32" s="52">
        <v>5.7762000000000001E-2</v>
      </c>
      <c r="R32" s="48">
        <f t="shared" si="4"/>
        <v>394550984.93579996</v>
      </c>
    </row>
    <row r="33" spans="2:18">
      <c r="B33" s="70" t="s">
        <v>19</v>
      </c>
      <c r="C33" s="57"/>
      <c r="D33" s="58"/>
      <c r="E33" s="58"/>
      <c r="F33" s="58"/>
      <c r="G33" s="58"/>
      <c r="H33" s="59"/>
      <c r="I33" s="58"/>
      <c r="J33" s="58"/>
      <c r="K33" s="58"/>
      <c r="L33" s="58"/>
      <c r="M33" s="58"/>
      <c r="N33" s="58"/>
      <c r="O33" s="58"/>
      <c r="P33" s="58"/>
      <c r="Q33" s="58"/>
      <c r="R33" s="59"/>
    </row>
    <row r="34" spans="2:18">
      <c r="B34" s="46" t="str">
        <f>$B$9</f>
        <v>Fourth quarter</v>
      </c>
      <c r="C34" s="60">
        <v>2368</v>
      </c>
      <c r="D34" s="61">
        <v>811</v>
      </c>
      <c r="E34" s="61">
        <v>689</v>
      </c>
      <c r="F34" s="61">
        <v>5459</v>
      </c>
      <c r="G34" s="61">
        <v>33431</v>
      </c>
      <c r="H34" s="49">
        <v>3286488</v>
      </c>
      <c r="I34" s="64">
        <v>10854</v>
      </c>
      <c r="J34" s="64">
        <v>1771</v>
      </c>
      <c r="K34" s="61">
        <v>32072</v>
      </c>
      <c r="L34" s="61">
        <v>1449</v>
      </c>
      <c r="M34" s="51">
        <v>2.9548549999999998</v>
      </c>
      <c r="N34" s="52">
        <v>0.47952299999999998</v>
      </c>
      <c r="O34" s="51">
        <v>30.198899999999998</v>
      </c>
      <c r="P34" s="52">
        <v>2.1724E-2</v>
      </c>
      <c r="Q34" s="52">
        <v>4.249E-2</v>
      </c>
      <c r="R34" s="48">
        <f>((I34+J34)+(K34+L34))/2*(O34*K34)</f>
        <v>22347103134.218399</v>
      </c>
    </row>
    <row r="35" spans="2:18">
      <c r="B35" s="46" t="str">
        <f>$B$10</f>
        <v>Third quarter</v>
      </c>
      <c r="C35" s="60">
        <v>2358</v>
      </c>
      <c r="D35" s="61">
        <v>796</v>
      </c>
      <c r="E35" s="61">
        <v>485</v>
      </c>
      <c r="F35" s="61">
        <v>3657</v>
      </c>
      <c r="G35" s="61">
        <v>12224</v>
      </c>
      <c r="H35" s="49">
        <v>2102237</v>
      </c>
      <c r="I35" s="64">
        <v>4345</v>
      </c>
      <c r="J35" s="64">
        <v>867</v>
      </c>
      <c r="K35" s="61">
        <v>11725</v>
      </c>
      <c r="L35" s="61">
        <v>819</v>
      </c>
      <c r="M35" s="51">
        <v>2.6985039999999998</v>
      </c>
      <c r="N35" s="52">
        <v>0.29897499999999999</v>
      </c>
      <c r="O35" s="51">
        <v>32.47531</v>
      </c>
      <c r="P35" s="52">
        <v>1.4930000000000001E-2</v>
      </c>
      <c r="Q35" s="52">
        <v>4.1418999999999997E-2</v>
      </c>
      <c r="R35" s="48">
        <f t="shared" ref="R35:R37" si="5">((I35+J35)+(K35+L35))/2*(O35*K35)</f>
        <v>3380502780.5605001</v>
      </c>
    </row>
    <row r="36" spans="2:18">
      <c r="B36" s="46" t="str">
        <f>$B$11</f>
        <v>Second quarter</v>
      </c>
      <c r="C36" s="60">
        <v>3312</v>
      </c>
      <c r="D36" s="61">
        <v>587</v>
      </c>
      <c r="E36" s="61">
        <v>228</v>
      </c>
      <c r="F36" s="61">
        <v>2464</v>
      </c>
      <c r="G36" s="61">
        <v>4961</v>
      </c>
      <c r="H36" s="49">
        <v>1705890</v>
      </c>
      <c r="I36" s="64">
        <v>2786</v>
      </c>
      <c r="J36" s="64">
        <v>391</v>
      </c>
      <c r="K36" s="61">
        <v>7983</v>
      </c>
      <c r="L36" s="100">
        <v>357</v>
      </c>
      <c r="M36" s="54">
        <v>2.8653979999999999</v>
      </c>
      <c r="N36" s="52">
        <v>0.207895</v>
      </c>
      <c r="O36" s="54">
        <v>40.400350000000003</v>
      </c>
      <c r="P36" s="52">
        <v>3.3050000000000002E-3</v>
      </c>
      <c r="Q36" s="52">
        <v>1.0283E-2</v>
      </c>
      <c r="R36" s="48">
        <f>((I36+J36)+(K36+L36))/2*(O36*K36)</f>
        <v>1857208351.7369251</v>
      </c>
    </row>
    <row r="37" spans="2:18" ht="16.5" customHeight="1" thickBot="1">
      <c r="B37" s="46" t="str">
        <f>$B$12</f>
        <v>First quarter</v>
      </c>
      <c r="C37" s="60">
        <v>2760</v>
      </c>
      <c r="D37" s="61">
        <v>532</v>
      </c>
      <c r="E37" s="61">
        <v>255</v>
      </c>
      <c r="F37" s="61">
        <v>1949</v>
      </c>
      <c r="G37" s="61">
        <v>1858</v>
      </c>
      <c r="H37" s="49">
        <v>1333994</v>
      </c>
      <c r="I37" s="66">
        <v>1215</v>
      </c>
      <c r="J37" s="66">
        <v>313</v>
      </c>
      <c r="K37" s="67">
        <v>3141</v>
      </c>
      <c r="L37" s="67">
        <v>343</v>
      </c>
      <c r="M37" s="55">
        <v>2.5851850000000001</v>
      </c>
      <c r="N37" s="52">
        <v>0.165576</v>
      </c>
      <c r="O37" s="55">
        <v>66.089780000000005</v>
      </c>
      <c r="P37" s="52">
        <v>4.3819999999999996E-3</v>
      </c>
      <c r="Q37" s="52">
        <v>1.1894E-2</v>
      </c>
      <c r="R37" s="48">
        <f t="shared" si="5"/>
        <v>520215525.44388002</v>
      </c>
    </row>
    <row r="38" spans="2:18">
      <c r="B38" s="70" t="s">
        <v>20</v>
      </c>
      <c r="C38" s="57"/>
      <c r="D38" s="58"/>
      <c r="E38" s="58"/>
      <c r="F38" s="58"/>
      <c r="G38" s="58"/>
      <c r="H38" s="59"/>
      <c r="I38" s="58"/>
      <c r="J38" s="58"/>
      <c r="K38" s="58"/>
      <c r="L38" s="58"/>
      <c r="M38" s="58"/>
      <c r="N38" s="58"/>
      <c r="O38" s="58"/>
      <c r="P38" s="58"/>
      <c r="Q38" s="58"/>
      <c r="R38" s="59"/>
    </row>
    <row r="39" spans="2:18">
      <c r="B39" s="46" t="str">
        <f>$B$9</f>
        <v>Fourth quarter</v>
      </c>
      <c r="C39" s="60">
        <v>6482</v>
      </c>
      <c r="D39" s="61">
        <v>1881</v>
      </c>
      <c r="E39" s="61">
        <v>3136</v>
      </c>
      <c r="F39" s="61">
        <v>11084</v>
      </c>
      <c r="G39" s="61">
        <v>20831</v>
      </c>
      <c r="H39" s="49">
        <v>3154226</v>
      </c>
      <c r="I39" s="64">
        <v>6741</v>
      </c>
      <c r="J39" s="64">
        <v>3802</v>
      </c>
      <c r="K39" s="61">
        <v>19662</v>
      </c>
      <c r="L39" s="61">
        <v>5489</v>
      </c>
      <c r="M39" s="51">
        <v>2.9167779999999999</v>
      </c>
      <c r="N39" s="52">
        <v>0.38945099999999999</v>
      </c>
      <c r="O39" s="51">
        <v>39.470860000000002</v>
      </c>
      <c r="P39" s="52">
        <v>2.2981999999999999E-2</v>
      </c>
      <c r="Q39" s="52">
        <v>4.6834000000000001E-2</v>
      </c>
      <c r="R39" s="48">
        <f>((I39+J39)+(K39+L39))/2*(O39*K39)</f>
        <v>13850629252.214041</v>
      </c>
    </row>
    <row r="40" spans="2:18">
      <c r="B40" s="46" t="str">
        <f>$B$10</f>
        <v>Third quarter</v>
      </c>
      <c r="C40" s="60">
        <v>8163</v>
      </c>
      <c r="D40" s="61">
        <v>2355</v>
      </c>
      <c r="E40" s="61">
        <v>3949</v>
      </c>
      <c r="F40" s="61">
        <v>8463</v>
      </c>
      <c r="G40" s="61">
        <v>12857</v>
      </c>
      <c r="H40" s="49">
        <v>2564201</v>
      </c>
      <c r="I40" s="64">
        <v>4013</v>
      </c>
      <c r="J40" s="64">
        <v>2181</v>
      </c>
      <c r="K40" s="61">
        <v>11792</v>
      </c>
      <c r="L40" s="61">
        <v>4408</v>
      </c>
      <c r="M40" s="51">
        <v>2.93845</v>
      </c>
      <c r="N40" s="52">
        <v>0.318214</v>
      </c>
      <c r="O40" s="51">
        <v>60.949120000000001</v>
      </c>
      <c r="P40" s="52">
        <v>2.4528999999999999E-2</v>
      </c>
      <c r="Q40" s="52">
        <v>9.6024999999999999E-2</v>
      </c>
      <c r="R40" s="48">
        <f t="shared" ref="R40:R42" si="6">((I40+J40)+(K40+L40))/2*(O40*K40)</f>
        <v>8047418521.9788799</v>
      </c>
    </row>
    <row r="41" spans="2:18" ht="16.5" customHeight="1">
      <c r="B41" s="46" t="str">
        <f>$B$11</f>
        <v>Second quarter</v>
      </c>
      <c r="C41" s="60">
        <v>7705</v>
      </c>
      <c r="D41" s="61">
        <v>2021</v>
      </c>
      <c r="E41" s="61">
        <v>3889</v>
      </c>
      <c r="F41" s="61">
        <v>8885</v>
      </c>
      <c r="G41" s="61">
        <v>18830</v>
      </c>
      <c r="H41" s="49">
        <v>2119597</v>
      </c>
      <c r="I41" s="64">
        <v>6200</v>
      </c>
      <c r="J41" s="64">
        <v>3456</v>
      </c>
      <c r="K41" s="61">
        <v>17686</v>
      </c>
      <c r="L41" s="100">
        <v>5967</v>
      </c>
      <c r="M41" s="54">
        <v>2.8525809999999998</v>
      </c>
      <c r="N41" s="52">
        <v>0.40116499999999999</v>
      </c>
      <c r="O41" s="54">
        <v>36.674709999999997</v>
      </c>
      <c r="P41" s="52">
        <v>2.955E-2</v>
      </c>
      <c r="Q41" s="52">
        <v>4.5808000000000001E-2</v>
      </c>
      <c r="R41" s="48">
        <f>((I41+J41)+(K41+L41))/2*(O41*K41)</f>
        <v>10802590365.79377</v>
      </c>
    </row>
    <row r="42" spans="2:18" ht="15.75" thickBot="1">
      <c r="B42" s="46" t="str">
        <f>$B$12</f>
        <v>First quarter</v>
      </c>
      <c r="C42" s="60">
        <v>7767</v>
      </c>
      <c r="D42" s="61">
        <v>1298</v>
      </c>
      <c r="E42" s="61">
        <v>1868</v>
      </c>
      <c r="F42" s="61">
        <v>4324</v>
      </c>
      <c r="G42" s="61">
        <v>5135</v>
      </c>
      <c r="H42" s="49">
        <v>1139909</v>
      </c>
      <c r="I42" s="64">
        <v>2126</v>
      </c>
      <c r="J42" s="64">
        <v>1414</v>
      </c>
      <c r="K42" s="61">
        <v>5022</v>
      </c>
      <c r="L42" s="100">
        <v>2346</v>
      </c>
      <c r="M42" s="55">
        <v>2.3621829999999999</v>
      </c>
      <c r="N42" s="52">
        <v>0.25479400000000002</v>
      </c>
      <c r="O42" s="55">
        <v>54.316609999999997</v>
      </c>
      <c r="P42" s="52">
        <v>4.0344999999999999E-2</v>
      </c>
      <c r="Q42" s="52">
        <v>7.6034000000000004E-2</v>
      </c>
      <c r="R42" s="48">
        <f t="shared" si="6"/>
        <v>1487731296.1006801</v>
      </c>
    </row>
    <row r="43" spans="2:18">
      <c r="B43" s="70" t="s">
        <v>26</v>
      </c>
      <c r="C43" s="57"/>
      <c r="D43" s="58"/>
      <c r="E43" s="58"/>
      <c r="F43" s="58"/>
      <c r="G43" s="58"/>
      <c r="H43" s="59"/>
      <c r="I43" s="58"/>
      <c r="J43" s="58"/>
      <c r="K43" s="58"/>
      <c r="L43" s="58"/>
      <c r="M43" s="58"/>
      <c r="N43" s="58"/>
      <c r="O43" s="58"/>
      <c r="P43" s="58"/>
      <c r="Q43" s="58"/>
      <c r="R43" s="59"/>
    </row>
    <row r="44" spans="2:18">
      <c r="B44" s="46" t="str">
        <f>$B$9</f>
        <v>Fourth quarter</v>
      </c>
      <c r="C44" s="60">
        <v>16520</v>
      </c>
      <c r="D44" s="61">
        <v>5278</v>
      </c>
      <c r="E44" s="61">
        <v>10164</v>
      </c>
      <c r="F44" s="61">
        <v>18396</v>
      </c>
      <c r="G44" s="61">
        <v>33680</v>
      </c>
      <c r="H44" s="49">
        <v>8629278</v>
      </c>
      <c r="I44" s="64">
        <v>17511</v>
      </c>
      <c r="J44" s="64">
        <v>9365</v>
      </c>
      <c r="K44" s="61">
        <v>61816</v>
      </c>
      <c r="L44" s="61">
        <v>14823</v>
      </c>
      <c r="M44" s="51">
        <v>3.5301239999999998</v>
      </c>
      <c r="N44" s="52">
        <v>0.44927600000000001</v>
      </c>
      <c r="O44" s="51">
        <v>37.623069999999998</v>
      </c>
      <c r="P44" s="52">
        <v>6.8739999999999999E-3</v>
      </c>
      <c r="Q44" s="52">
        <v>1.7578E-2</v>
      </c>
      <c r="R44" s="48">
        <f>((I44+J44)+(K44+L44))/2*(O44*K44)</f>
        <v>120372816030.17339</v>
      </c>
    </row>
    <row r="45" spans="2:18">
      <c r="B45" s="46" t="str">
        <f>$B$10</f>
        <v>Third quarter</v>
      </c>
      <c r="C45" s="60">
        <v>14067</v>
      </c>
      <c r="D45" s="61">
        <v>5359</v>
      </c>
      <c r="E45" s="61">
        <v>6967</v>
      </c>
      <c r="F45" s="61">
        <v>14739</v>
      </c>
      <c r="G45" s="61">
        <v>25694</v>
      </c>
      <c r="H45" s="49">
        <v>7511032</v>
      </c>
      <c r="I45" s="64">
        <v>16002</v>
      </c>
      <c r="J45" s="64">
        <v>6642</v>
      </c>
      <c r="K45" s="61">
        <v>53062</v>
      </c>
      <c r="L45" s="61">
        <v>9657</v>
      </c>
      <c r="M45" s="51">
        <v>3.3159610000000002</v>
      </c>
      <c r="N45" s="52">
        <v>0.337005</v>
      </c>
      <c r="O45" s="51">
        <v>30.34055</v>
      </c>
      <c r="P45" s="52">
        <v>8.4139999999999996E-3</v>
      </c>
      <c r="Q45" s="52">
        <v>1.8835000000000001E-2</v>
      </c>
      <c r="R45" s="48">
        <f t="shared" ref="R45:R47" si="7">((I45+J45)+(K45+L45))/2*(O45*K45)</f>
        <v>68714238567.184151</v>
      </c>
    </row>
    <row r="46" spans="2:18">
      <c r="B46" s="46" t="str">
        <f>$B$11</f>
        <v>Second quarter</v>
      </c>
      <c r="C46" s="60">
        <v>6878</v>
      </c>
      <c r="D46" s="61">
        <v>2390</v>
      </c>
      <c r="E46" s="61">
        <v>2264</v>
      </c>
      <c r="F46" s="61">
        <v>6962</v>
      </c>
      <c r="G46" s="61">
        <v>17363</v>
      </c>
      <c r="H46" s="49">
        <v>6464070</v>
      </c>
      <c r="I46" s="64">
        <v>12986</v>
      </c>
      <c r="J46" s="64">
        <v>2951</v>
      </c>
      <c r="K46" s="61">
        <v>35135</v>
      </c>
      <c r="L46" s="100">
        <v>3378</v>
      </c>
      <c r="M46" s="54">
        <v>2.705606</v>
      </c>
      <c r="N46" s="52">
        <v>0.27976200000000001</v>
      </c>
      <c r="O46" s="54">
        <v>41.447220000000002</v>
      </c>
      <c r="P46" s="52">
        <v>1.1448E-2</v>
      </c>
      <c r="Q46" s="52">
        <v>2.2401000000000001E-2</v>
      </c>
      <c r="R46" s="48">
        <f>((I46+J46)+(K46+L46))/2*(O46*K46)</f>
        <v>39646353833.707497</v>
      </c>
    </row>
    <row r="47" spans="2:18" ht="15.75" thickBot="1">
      <c r="B47" s="46" t="str">
        <f>$B$12</f>
        <v>First quarter</v>
      </c>
      <c r="C47" s="60">
        <v>9062</v>
      </c>
      <c r="D47" s="61">
        <v>2366</v>
      </c>
      <c r="E47" s="61">
        <v>1804</v>
      </c>
      <c r="F47" s="61">
        <v>6500</v>
      </c>
      <c r="G47" s="61">
        <v>10130</v>
      </c>
      <c r="H47" s="49">
        <v>4833337</v>
      </c>
      <c r="I47" s="64">
        <v>6776</v>
      </c>
      <c r="J47" s="64">
        <v>1880</v>
      </c>
      <c r="K47" s="61">
        <v>11776</v>
      </c>
      <c r="L47" s="100">
        <v>2140</v>
      </c>
      <c r="M47" s="55">
        <v>1.7378979999999999</v>
      </c>
      <c r="N47" s="52">
        <v>0.20488600000000001</v>
      </c>
      <c r="O47" s="55">
        <v>48.918480000000002</v>
      </c>
      <c r="P47" s="52">
        <v>9.4405000000000003E-2</v>
      </c>
      <c r="Q47" s="52">
        <v>0.117038</v>
      </c>
      <c r="R47" s="48">
        <f t="shared" si="7"/>
        <v>6501458535.1372805</v>
      </c>
    </row>
    <row r="48" spans="2:18">
      <c r="B48" s="70" t="s">
        <v>18</v>
      </c>
      <c r="C48" s="57"/>
      <c r="D48" s="58"/>
      <c r="E48" s="58"/>
      <c r="F48" s="58"/>
      <c r="G48" s="58"/>
      <c r="H48" s="59"/>
      <c r="I48" s="58"/>
      <c r="J48" s="58"/>
      <c r="K48" s="58"/>
      <c r="L48" s="58"/>
      <c r="M48" s="58"/>
      <c r="N48" s="58"/>
      <c r="O48" s="58"/>
      <c r="P48" s="58"/>
      <c r="Q48" s="58"/>
      <c r="R48" s="59"/>
    </row>
    <row r="49" spans="2:18">
      <c r="B49" s="46" t="str">
        <f>$B$9</f>
        <v>Fourth quarter</v>
      </c>
      <c r="C49" s="60">
        <v>9208</v>
      </c>
      <c r="D49" s="61">
        <v>1838</v>
      </c>
      <c r="E49" s="61">
        <v>2235</v>
      </c>
      <c r="F49" s="61">
        <v>14994</v>
      </c>
      <c r="G49" s="61">
        <v>35966</v>
      </c>
      <c r="H49" s="72">
        <v>6127521</v>
      </c>
      <c r="I49" s="64">
        <v>13382</v>
      </c>
      <c r="J49" s="64">
        <v>4492</v>
      </c>
      <c r="K49" s="61">
        <v>44383</v>
      </c>
      <c r="L49" s="61">
        <v>4913</v>
      </c>
      <c r="M49" s="51">
        <v>3.3166190000000002</v>
      </c>
      <c r="N49" s="52">
        <v>0.55762999999999996</v>
      </c>
      <c r="O49" s="51">
        <v>67.256559999999993</v>
      </c>
      <c r="P49" s="52">
        <v>2.0909000000000001E-2</v>
      </c>
      <c r="Q49" s="52">
        <v>3.5618999999999998E-2</v>
      </c>
      <c r="R49" s="48">
        <f>((I49+J49)+(K49+L49))/2*(O49*K49)</f>
        <v>100252833804.79079</v>
      </c>
    </row>
    <row r="50" spans="2:18">
      <c r="B50" s="46" t="str">
        <f>$B$10</f>
        <v>Third quarter</v>
      </c>
      <c r="C50" s="60">
        <v>8049</v>
      </c>
      <c r="D50" s="61">
        <v>1579</v>
      </c>
      <c r="E50" s="61">
        <v>1826</v>
      </c>
      <c r="F50" s="61">
        <v>11457</v>
      </c>
      <c r="G50" s="61">
        <v>26378</v>
      </c>
      <c r="H50" s="72">
        <v>4298640</v>
      </c>
      <c r="I50" s="64">
        <v>9669</v>
      </c>
      <c r="J50" s="64">
        <v>3678</v>
      </c>
      <c r="K50" s="61">
        <v>35348</v>
      </c>
      <c r="L50" s="61">
        <v>3226</v>
      </c>
      <c r="M50" s="51">
        <v>3.6558069999999998</v>
      </c>
      <c r="N50" s="52">
        <v>0.51169600000000004</v>
      </c>
      <c r="O50" s="51">
        <v>57.778489999999998</v>
      </c>
      <c r="P50" s="52">
        <v>1.1657000000000001E-2</v>
      </c>
      <c r="Q50" s="52">
        <v>4.6892000000000003E-2</v>
      </c>
      <c r="R50" s="48">
        <f t="shared" ref="R50:R52" si="8">((I50+J50)+(K50+L50))/2*(O50*K50)</f>
        <v>53020532691.971458</v>
      </c>
    </row>
    <row r="51" spans="2:18">
      <c r="B51" s="46" t="str">
        <f>$B$11</f>
        <v>Second quarter</v>
      </c>
      <c r="C51" s="60">
        <v>7261</v>
      </c>
      <c r="D51" s="61">
        <v>1007</v>
      </c>
      <c r="E51" s="61">
        <v>1572</v>
      </c>
      <c r="F51" s="61">
        <v>6511</v>
      </c>
      <c r="G51" s="61">
        <v>16899</v>
      </c>
      <c r="H51" s="72">
        <v>2719680</v>
      </c>
      <c r="I51" s="64">
        <v>6295</v>
      </c>
      <c r="J51" s="64">
        <v>2743</v>
      </c>
      <c r="K51" s="61">
        <v>21630</v>
      </c>
      <c r="L51" s="61">
        <v>2882</v>
      </c>
      <c r="M51" s="51">
        <v>3.4360599999999999</v>
      </c>
      <c r="N51" s="52">
        <v>0.445411</v>
      </c>
      <c r="O51" s="51">
        <v>61.232410000000002</v>
      </c>
      <c r="P51" s="52">
        <v>1.4846E-2</v>
      </c>
      <c r="Q51" s="52">
        <v>2.7276000000000002E-2</v>
      </c>
      <c r="R51" s="48">
        <f>((I51+J51)+(K51+L51))/2*(O51*K51)</f>
        <v>22217766649.732502</v>
      </c>
    </row>
    <row r="52" spans="2:18" ht="15.75" thickBot="1">
      <c r="B52" s="46" t="str">
        <f>$B$12</f>
        <v>First quarter</v>
      </c>
      <c r="C52" s="60">
        <v>6994</v>
      </c>
      <c r="D52" s="61">
        <v>1016</v>
      </c>
      <c r="E52" s="61">
        <v>1394</v>
      </c>
      <c r="F52" s="61">
        <v>4833</v>
      </c>
      <c r="G52" s="61">
        <v>9733</v>
      </c>
      <c r="H52" s="72">
        <v>1789275</v>
      </c>
      <c r="I52" s="64">
        <v>3714</v>
      </c>
      <c r="J52" s="64">
        <v>1888</v>
      </c>
      <c r="K52" s="61">
        <v>11847</v>
      </c>
      <c r="L52" s="100">
        <v>2023</v>
      </c>
      <c r="M52" s="54">
        <v>3.1898219999999999</v>
      </c>
      <c r="N52" s="52">
        <v>0.398669</v>
      </c>
      <c r="O52" s="54">
        <v>50.844099999999997</v>
      </c>
      <c r="P52" s="52">
        <v>4.2162999999999999E-2</v>
      </c>
      <c r="Q52" s="52">
        <v>7.7116000000000004E-2</v>
      </c>
      <c r="R52" s="48">
        <f t="shared" si="8"/>
        <v>5864480113.0872002</v>
      </c>
    </row>
    <row r="53" spans="2:18">
      <c r="B53" s="70" t="s">
        <v>21</v>
      </c>
      <c r="C53" s="57"/>
      <c r="D53" s="58"/>
      <c r="E53" s="58"/>
      <c r="F53" s="58"/>
      <c r="G53" s="58"/>
      <c r="H53" s="59"/>
      <c r="I53" s="58"/>
      <c r="J53" s="58"/>
      <c r="K53" s="58"/>
      <c r="L53" s="58"/>
      <c r="M53" s="58"/>
      <c r="N53" s="58"/>
      <c r="O53" s="58"/>
      <c r="P53" s="58"/>
      <c r="Q53" s="58"/>
      <c r="R53" s="59"/>
    </row>
    <row r="54" spans="2:18">
      <c r="B54" s="46" t="str">
        <f>$B$9</f>
        <v>Fourth quarter</v>
      </c>
      <c r="C54" s="60">
        <v>5710</v>
      </c>
      <c r="D54" s="61">
        <v>2099</v>
      </c>
      <c r="E54" s="61">
        <v>2706</v>
      </c>
      <c r="F54" s="61">
        <v>18831</v>
      </c>
      <c r="G54" s="61">
        <v>42469</v>
      </c>
      <c r="H54" s="49">
        <v>5876426</v>
      </c>
      <c r="I54" s="64">
        <v>14887</v>
      </c>
      <c r="J54" s="64">
        <v>6946</v>
      </c>
      <c r="K54" s="61">
        <v>42621</v>
      </c>
      <c r="L54" s="61">
        <v>7252</v>
      </c>
      <c r="M54" s="51">
        <v>2.862968</v>
      </c>
      <c r="N54" s="52">
        <v>0.49333900000000003</v>
      </c>
      <c r="O54" s="51">
        <v>44.704320000000003</v>
      </c>
      <c r="P54" s="52">
        <v>3.0771E-2</v>
      </c>
      <c r="Q54" s="52">
        <v>5.9110000000000003E-2</v>
      </c>
      <c r="R54" s="48">
        <f>((I54+J54)+(K54+L54))/2*(O54*K54)</f>
        <v>68312256222.980164</v>
      </c>
    </row>
    <row r="55" spans="2:18">
      <c r="B55" s="46" t="str">
        <f>$B$10</f>
        <v>Third quarter</v>
      </c>
      <c r="C55" s="60">
        <v>4105</v>
      </c>
      <c r="D55" s="61">
        <v>1555</v>
      </c>
      <c r="E55" s="61">
        <v>1801</v>
      </c>
      <c r="F55" s="61">
        <v>12116</v>
      </c>
      <c r="G55" s="61">
        <v>25480</v>
      </c>
      <c r="H55" s="49">
        <v>3419024</v>
      </c>
      <c r="I55" s="64">
        <v>9336</v>
      </c>
      <c r="J55" s="64">
        <v>5123</v>
      </c>
      <c r="K55" s="61">
        <v>25790</v>
      </c>
      <c r="L55" s="61">
        <v>6085</v>
      </c>
      <c r="M55" s="51">
        <v>2.7624249999999999</v>
      </c>
      <c r="N55" s="52">
        <v>0.47805799999999998</v>
      </c>
      <c r="O55" s="54">
        <v>38.830010000000001</v>
      </c>
      <c r="P55" s="52">
        <v>1.8939999999999999E-2</v>
      </c>
      <c r="Q55" s="52">
        <v>3.9542000000000001E-2</v>
      </c>
      <c r="R55" s="48">
        <f t="shared" ref="R55:R57" si="9">((I55+J55)+(K55+L55))/2*(O55*K55)</f>
        <v>23200035166.6693</v>
      </c>
    </row>
    <row r="56" spans="2:18">
      <c r="B56" s="46" t="str">
        <f>$B$11</f>
        <v>Second quarter</v>
      </c>
      <c r="C56" s="60">
        <v>4274</v>
      </c>
      <c r="D56" s="61">
        <v>1520</v>
      </c>
      <c r="E56" s="61">
        <v>1876</v>
      </c>
      <c r="F56" s="61">
        <v>8206</v>
      </c>
      <c r="G56" s="61">
        <v>16878</v>
      </c>
      <c r="H56" s="49">
        <v>3101351</v>
      </c>
      <c r="I56" s="64">
        <v>6804</v>
      </c>
      <c r="J56" s="64">
        <v>4736</v>
      </c>
      <c r="K56" s="61">
        <v>19193</v>
      </c>
      <c r="L56" s="61">
        <v>5826</v>
      </c>
      <c r="M56" s="51">
        <v>2.8208410000000002</v>
      </c>
      <c r="N56" s="52">
        <v>0.35684700000000003</v>
      </c>
      <c r="O56" s="51">
        <v>44.32085</v>
      </c>
      <c r="P56" s="52">
        <v>1.7856E-2</v>
      </c>
      <c r="Q56" s="52">
        <v>3.8857999999999997E-2</v>
      </c>
      <c r="R56" s="48">
        <f>((I56+J56)+(K56+L56))/2*(O56*K56)</f>
        <v>15549458028.596975</v>
      </c>
    </row>
    <row r="57" spans="2:18" ht="15.75" thickBot="1">
      <c r="B57" s="46" t="str">
        <f>$B$12</f>
        <v>First quarter</v>
      </c>
      <c r="C57" s="60">
        <v>8061</v>
      </c>
      <c r="D57" s="61">
        <v>1847</v>
      </c>
      <c r="E57" s="61">
        <v>1997</v>
      </c>
      <c r="F57" s="61">
        <v>5679</v>
      </c>
      <c r="G57" s="61">
        <v>4749</v>
      </c>
      <c r="H57" s="49">
        <v>2257631</v>
      </c>
      <c r="I57" s="64">
        <v>2247</v>
      </c>
      <c r="J57" s="64">
        <v>1909</v>
      </c>
      <c r="K57" s="61">
        <v>4459</v>
      </c>
      <c r="L57" s="100">
        <v>2782</v>
      </c>
      <c r="M57" s="54">
        <v>1.984424</v>
      </c>
      <c r="N57" s="52">
        <v>0.28193200000000002</v>
      </c>
      <c r="O57" s="54">
        <v>121.46040000000001</v>
      </c>
      <c r="P57" s="52">
        <v>7.8062000000000006E-2</v>
      </c>
      <c r="Q57" s="52">
        <v>0.17715800000000001</v>
      </c>
      <c r="R57" s="48">
        <f t="shared" si="9"/>
        <v>3086261576.6345997</v>
      </c>
    </row>
    <row r="58" spans="2:18">
      <c r="B58" s="70" t="s">
        <v>72</v>
      </c>
      <c r="C58" s="57"/>
      <c r="D58" s="58"/>
      <c r="E58" s="58"/>
      <c r="F58" s="58"/>
      <c r="G58" s="58"/>
      <c r="H58" s="59"/>
      <c r="I58" s="58"/>
      <c r="J58" s="58"/>
      <c r="K58" s="58"/>
      <c r="L58" s="58"/>
      <c r="M58" s="58"/>
      <c r="N58" s="58"/>
      <c r="O58" s="58"/>
      <c r="P58" s="58"/>
      <c r="Q58" s="58"/>
      <c r="R58" s="59"/>
    </row>
    <row r="59" spans="2:18">
      <c r="B59" s="46" t="str">
        <f>$B$9</f>
        <v>Fourth quarter</v>
      </c>
      <c r="C59" s="60">
        <v>17159</v>
      </c>
      <c r="D59" s="61">
        <v>4274</v>
      </c>
      <c r="E59" s="61">
        <v>5757</v>
      </c>
      <c r="F59" s="61">
        <v>28157</v>
      </c>
      <c r="G59" s="61">
        <v>44058</v>
      </c>
      <c r="H59" s="49">
        <v>14692315</v>
      </c>
      <c r="I59" s="64">
        <v>14270</v>
      </c>
      <c r="J59" s="64">
        <v>12927</v>
      </c>
      <c r="K59" s="61">
        <v>37042</v>
      </c>
      <c r="L59" s="61">
        <v>24404</v>
      </c>
      <c r="M59" s="51">
        <v>2.5957949999999999</v>
      </c>
      <c r="N59" s="52">
        <v>0.38710899999999998</v>
      </c>
      <c r="O59" s="51">
        <v>133.81659999999999</v>
      </c>
      <c r="P59" s="52">
        <v>6.9911000000000001E-2</v>
      </c>
      <c r="Q59" s="52">
        <v>0.19644500000000001</v>
      </c>
      <c r="R59" s="48">
        <f>((I59+J59)+(K59+L59))/2*(O59*K59)</f>
        <v>219694340167.64981</v>
      </c>
    </row>
    <row r="60" spans="2:18">
      <c r="B60" s="46" t="str">
        <f>$B$10</f>
        <v>Third quarter</v>
      </c>
      <c r="C60" s="60">
        <v>16184</v>
      </c>
      <c r="D60" s="61">
        <v>4186</v>
      </c>
      <c r="E60" s="61">
        <v>5003</v>
      </c>
      <c r="F60" s="61">
        <v>24070</v>
      </c>
      <c r="G60" s="61">
        <v>36175</v>
      </c>
      <c r="H60" s="49">
        <v>11725839</v>
      </c>
      <c r="I60" s="64">
        <v>11315</v>
      </c>
      <c r="J60" s="64">
        <v>10457</v>
      </c>
      <c r="K60" s="61">
        <v>29278</v>
      </c>
      <c r="L60" s="61">
        <v>20077</v>
      </c>
      <c r="M60" s="51">
        <v>2.587539</v>
      </c>
      <c r="N60" s="52">
        <v>0.33500099999999999</v>
      </c>
      <c r="O60" s="51">
        <v>126.8771</v>
      </c>
      <c r="P60" s="52">
        <v>6.3175999999999996E-2</v>
      </c>
      <c r="Q60" s="52">
        <v>0.189669</v>
      </c>
      <c r="R60" s="48">
        <f t="shared" ref="R60:R62" si="10">((I60+J60)+(K60+L60))/2*(O60*K60)</f>
        <v>132108008490.99631</v>
      </c>
    </row>
    <row r="61" spans="2:18">
      <c r="B61" s="46" t="str">
        <f>$B$11</f>
        <v>Second quarter</v>
      </c>
      <c r="C61" s="60">
        <v>10961</v>
      </c>
      <c r="D61" s="61">
        <v>2426</v>
      </c>
      <c r="E61" s="61">
        <v>3972</v>
      </c>
      <c r="F61" s="61">
        <v>15444</v>
      </c>
      <c r="G61" s="61">
        <v>27097</v>
      </c>
      <c r="H61" s="49">
        <v>8827506</v>
      </c>
      <c r="I61" s="64">
        <v>8863</v>
      </c>
      <c r="J61" s="64">
        <v>8478</v>
      </c>
      <c r="K61" s="61">
        <v>22439</v>
      </c>
      <c r="L61" s="61">
        <v>16317</v>
      </c>
      <c r="M61" s="51">
        <v>2.5317609999999999</v>
      </c>
      <c r="N61" s="52">
        <v>0.35358699999999998</v>
      </c>
      <c r="O61" s="51">
        <v>128.6557</v>
      </c>
      <c r="P61" s="52">
        <v>6.2394999999999999E-2</v>
      </c>
      <c r="Q61" s="52">
        <v>0.18171899999999999</v>
      </c>
      <c r="R61" s="48">
        <f>((I61+J61)+(K61+L61))/2*(O61*K61)</f>
        <v>80973361969.136551</v>
      </c>
    </row>
    <row r="62" spans="2:18" ht="15.75" thickBot="1">
      <c r="B62" s="46" t="str">
        <f>$B$12</f>
        <v>First quarter</v>
      </c>
      <c r="C62" s="60">
        <v>8909</v>
      </c>
      <c r="D62" s="61">
        <v>2091</v>
      </c>
      <c r="E62" s="61">
        <v>2900</v>
      </c>
      <c r="F62" s="61">
        <v>10000</v>
      </c>
      <c r="G62" s="61">
        <v>16534</v>
      </c>
      <c r="H62" s="49">
        <v>5091428</v>
      </c>
      <c r="I62" s="64">
        <v>4872</v>
      </c>
      <c r="J62" s="64">
        <v>4783</v>
      </c>
      <c r="K62" s="61">
        <v>12068</v>
      </c>
      <c r="L62" s="100">
        <v>9782</v>
      </c>
      <c r="M62" s="54">
        <v>2.4770110000000001</v>
      </c>
      <c r="N62" s="52">
        <v>0.35742099999999999</v>
      </c>
      <c r="O62" s="54">
        <v>124.044</v>
      </c>
      <c r="P62" s="52">
        <v>9.6539E-2</v>
      </c>
      <c r="Q62" s="52">
        <v>0.21848500000000001</v>
      </c>
      <c r="R62" s="48">
        <f t="shared" si="10"/>
        <v>23580909531.48</v>
      </c>
    </row>
    <row r="63" spans="2:18">
      <c r="B63" s="70" t="s">
        <v>22</v>
      </c>
      <c r="C63" s="57"/>
      <c r="D63" s="58"/>
      <c r="E63" s="58"/>
      <c r="F63" s="58"/>
      <c r="G63" s="58"/>
      <c r="H63" s="59"/>
      <c r="I63" s="58"/>
      <c r="J63" s="58"/>
      <c r="K63" s="58"/>
      <c r="L63" s="58"/>
      <c r="M63" s="58"/>
      <c r="N63" s="58"/>
      <c r="O63" s="58"/>
      <c r="P63" s="58"/>
      <c r="Q63" s="58"/>
      <c r="R63" s="59"/>
    </row>
    <row r="64" spans="2:18">
      <c r="B64" s="46" t="str">
        <f>$B$9</f>
        <v>Fourth quarter</v>
      </c>
      <c r="C64" s="60">
        <v>3723</v>
      </c>
      <c r="D64" s="61">
        <v>590</v>
      </c>
      <c r="E64" s="61">
        <v>1333</v>
      </c>
      <c r="F64" s="61">
        <v>2224</v>
      </c>
      <c r="G64" s="61">
        <v>9153</v>
      </c>
      <c r="H64" s="49">
        <v>3331256</v>
      </c>
      <c r="I64" s="64">
        <v>3953</v>
      </c>
      <c r="J64" s="64">
        <v>1878</v>
      </c>
      <c r="K64" s="61">
        <v>12977</v>
      </c>
      <c r="L64" s="61">
        <v>2850</v>
      </c>
      <c r="M64" s="51">
        <v>3.282823</v>
      </c>
      <c r="N64" s="52">
        <v>0.27491500000000002</v>
      </c>
      <c r="O64" s="51">
        <v>92.109579999999994</v>
      </c>
      <c r="P64" s="52">
        <v>1.8672999999999999E-2</v>
      </c>
      <c r="Q64" s="52">
        <v>4.4844000000000002E-2</v>
      </c>
      <c r="R64" s="48">
        <f>((I64+J64)+(K64+L64))/2*(O64*K64)</f>
        <v>12943968886.89814</v>
      </c>
    </row>
    <row r="65" spans="2:18">
      <c r="B65" s="46" t="str">
        <f>$B$10</f>
        <v>Third quarter</v>
      </c>
      <c r="C65" s="60">
        <v>4788</v>
      </c>
      <c r="D65" s="61">
        <v>568</v>
      </c>
      <c r="E65" s="61">
        <v>1306</v>
      </c>
      <c r="F65" s="61">
        <v>2235</v>
      </c>
      <c r="G65" s="61">
        <v>14171</v>
      </c>
      <c r="H65" s="49">
        <v>2560735</v>
      </c>
      <c r="I65" s="64">
        <v>4934</v>
      </c>
      <c r="J65" s="64">
        <v>1663</v>
      </c>
      <c r="K65" s="61">
        <v>17095</v>
      </c>
      <c r="L65" s="61">
        <v>2233</v>
      </c>
      <c r="M65" s="51">
        <v>3.464734</v>
      </c>
      <c r="N65" s="52">
        <v>0.28150900000000001</v>
      </c>
      <c r="O65" s="51">
        <v>49.291370000000001</v>
      </c>
      <c r="P65" s="52">
        <v>3.5397999999999999E-2</v>
      </c>
      <c r="Q65" s="52">
        <v>5.8397999999999999E-2</v>
      </c>
      <c r="R65" s="48">
        <f t="shared" ref="R65:R67" si="11">((I65+J65)+(K65+L65))/2*(O65*K65)</f>
        <v>10922668763.069376</v>
      </c>
    </row>
    <row r="66" spans="2:18">
      <c r="B66" s="46" t="str">
        <f>$B$11</f>
        <v>Second quarter</v>
      </c>
      <c r="C66" s="60">
        <v>5165</v>
      </c>
      <c r="D66" s="61">
        <v>961</v>
      </c>
      <c r="E66" s="61">
        <v>1154</v>
      </c>
      <c r="F66" s="61">
        <v>2618</v>
      </c>
      <c r="G66" s="61">
        <v>9169</v>
      </c>
      <c r="H66" s="49">
        <v>3333908</v>
      </c>
      <c r="I66" s="64">
        <v>3759</v>
      </c>
      <c r="J66" s="64">
        <v>1381</v>
      </c>
      <c r="K66" s="61">
        <v>11631</v>
      </c>
      <c r="L66" s="61">
        <v>1889</v>
      </c>
      <c r="M66" s="51">
        <v>3.0941740000000002</v>
      </c>
      <c r="N66" s="52">
        <v>0.16303100000000001</v>
      </c>
      <c r="O66" s="51">
        <v>80.863900000000001</v>
      </c>
      <c r="P66" s="52">
        <v>5.2019000000000003E-2</v>
      </c>
      <c r="Q66" s="52">
        <v>8.4291000000000005E-2</v>
      </c>
      <c r="R66" s="48">
        <f>((I66+J66)+(K66+L66))/2*(O66*K66)</f>
        <v>8775126434.9969997</v>
      </c>
    </row>
    <row r="67" spans="2:18">
      <c r="B67" s="46" t="str">
        <f>$B$12</f>
        <v>First quarter</v>
      </c>
      <c r="C67" s="60">
        <v>9092</v>
      </c>
      <c r="D67" s="61">
        <v>1014</v>
      </c>
      <c r="E67" s="61">
        <v>811</v>
      </c>
      <c r="F67" s="61">
        <v>2437</v>
      </c>
      <c r="G67" s="61">
        <v>1560</v>
      </c>
      <c r="H67" s="49">
        <v>2097716</v>
      </c>
      <c r="I67" s="64">
        <v>644</v>
      </c>
      <c r="J67" s="64">
        <v>544</v>
      </c>
      <c r="K67" s="61">
        <v>1373</v>
      </c>
      <c r="L67" s="61">
        <v>751</v>
      </c>
      <c r="M67" s="51">
        <v>2.1319880000000002</v>
      </c>
      <c r="N67" s="52">
        <v>8.2585000000000006E-2</v>
      </c>
      <c r="O67" s="51">
        <v>307.45589999999999</v>
      </c>
      <c r="P67" s="52">
        <v>0.13030800000000001</v>
      </c>
      <c r="Q67" s="52">
        <v>0.21607000000000001</v>
      </c>
      <c r="R67" s="48">
        <f t="shared" si="11"/>
        <v>699058790.3592</v>
      </c>
    </row>
    <row r="68" spans="2:18" ht="30" customHeight="1"/>
    <row r="69" spans="2:18">
      <c r="B69" s="187" t="s">
        <v>28</v>
      </c>
      <c r="C69" s="188"/>
      <c r="D69" s="189" t="s">
        <v>29</v>
      </c>
      <c r="E69" s="190"/>
      <c r="F69" s="190"/>
      <c r="G69" s="191"/>
      <c r="H69" s="18"/>
      <c r="I69" s="18"/>
      <c r="J69" s="18"/>
    </row>
    <row r="70" spans="2:18">
      <c r="B70" s="187" t="s">
        <v>30</v>
      </c>
      <c r="C70" s="188"/>
      <c r="D70" s="189" t="s">
        <v>31</v>
      </c>
      <c r="E70" s="190"/>
      <c r="F70" s="190"/>
      <c r="G70" s="191"/>
      <c r="H70" s="18"/>
      <c r="I70" s="18"/>
      <c r="J70" s="18"/>
    </row>
    <row r="72" spans="2:18" ht="15.75" thickBot="1"/>
    <row r="73" spans="2:18" s="19" customFormat="1" ht="27.75" customHeight="1">
      <c r="B73" s="196" t="s">
        <v>28</v>
      </c>
      <c r="C73" s="197"/>
      <c r="D73" s="203" t="s">
        <v>32</v>
      </c>
      <c r="E73" s="206"/>
      <c r="F73" s="227" t="s">
        <v>33</v>
      </c>
      <c r="G73" s="228"/>
      <c r="H73" s="228"/>
      <c r="I73" s="228"/>
      <c r="J73" s="228"/>
      <c r="K73" s="228"/>
      <c r="L73" s="228"/>
      <c r="M73" s="228"/>
      <c r="N73" s="228"/>
      <c r="O73" s="228"/>
      <c r="P73" s="228"/>
      <c r="Q73" s="229"/>
      <c r="R73" s="230"/>
    </row>
    <row r="74" spans="2:18" s="19" customFormat="1" ht="27.75" customHeight="1">
      <c r="B74" s="198"/>
      <c r="C74" s="199"/>
      <c r="D74" s="205" t="s">
        <v>5</v>
      </c>
      <c r="E74" s="207"/>
      <c r="F74" s="213" t="s">
        <v>34</v>
      </c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5"/>
      <c r="R74" s="216"/>
    </row>
    <row r="75" spans="2:18" s="19" customFormat="1" ht="27.75" customHeight="1">
      <c r="B75" s="198"/>
      <c r="C75" s="199"/>
      <c r="D75" s="205" t="s">
        <v>6</v>
      </c>
      <c r="E75" s="207"/>
      <c r="F75" s="213" t="s">
        <v>35</v>
      </c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5"/>
      <c r="R75" s="216"/>
    </row>
    <row r="76" spans="2:18" s="19" customFormat="1" ht="27.75" customHeight="1">
      <c r="B76" s="198"/>
      <c r="C76" s="199"/>
      <c r="D76" s="205" t="s">
        <v>36</v>
      </c>
      <c r="E76" s="207"/>
      <c r="F76" s="213" t="s">
        <v>37</v>
      </c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5"/>
      <c r="R76" s="216"/>
    </row>
    <row r="77" spans="2:18" s="19" customFormat="1" ht="27.75" customHeight="1">
      <c r="B77" s="198"/>
      <c r="C77" s="199"/>
      <c r="D77" s="205" t="s">
        <v>38</v>
      </c>
      <c r="E77" s="207"/>
      <c r="F77" s="213" t="s">
        <v>39</v>
      </c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5"/>
      <c r="R77" s="216"/>
    </row>
    <row r="78" spans="2:18" s="19" customFormat="1" ht="27.75" customHeight="1" thickBot="1">
      <c r="B78" s="200"/>
      <c r="C78" s="201"/>
      <c r="D78" s="194" t="s">
        <v>9</v>
      </c>
      <c r="E78" s="195"/>
      <c r="F78" s="231" t="s">
        <v>40</v>
      </c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3"/>
      <c r="R78" s="234"/>
    </row>
    <row r="79" spans="2:18" s="19" customFormat="1" ht="27.75" customHeight="1">
      <c r="B79" s="196" t="s">
        <v>30</v>
      </c>
      <c r="C79" s="197"/>
      <c r="D79" s="202" t="s">
        <v>10</v>
      </c>
      <c r="E79" s="203"/>
      <c r="F79" s="227" t="s">
        <v>41</v>
      </c>
      <c r="G79" s="228"/>
      <c r="H79" s="228"/>
      <c r="I79" s="228"/>
      <c r="J79" s="228"/>
      <c r="K79" s="228"/>
      <c r="L79" s="228"/>
      <c r="M79" s="228"/>
      <c r="N79" s="228"/>
      <c r="O79" s="228"/>
      <c r="P79" s="228"/>
      <c r="Q79" s="229"/>
      <c r="R79" s="230"/>
    </row>
    <row r="80" spans="2:18" s="19" customFormat="1" ht="27.75" customHeight="1">
      <c r="B80" s="198"/>
      <c r="C80" s="199"/>
      <c r="D80" s="204" t="s">
        <v>11</v>
      </c>
      <c r="E80" s="205"/>
      <c r="F80" s="213" t="s">
        <v>42</v>
      </c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5"/>
      <c r="R80" s="216"/>
    </row>
    <row r="81" spans="2:18" s="19" customFormat="1" ht="27.75" customHeight="1">
      <c r="B81" s="198"/>
      <c r="C81" s="199"/>
      <c r="D81" s="204" t="s">
        <v>12</v>
      </c>
      <c r="E81" s="205"/>
      <c r="F81" s="213" t="s">
        <v>43</v>
      </c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5"/>
      <c r="R81" s="216"/>
    </row>
    <row r="82" spans="2:18" s="19" customFormat="1" ht="27.75" customHeight="1">
      <c r="B82" s="198"/>
      <c r="C82" s="199"/>
      <c r="D82" s="204" t="s">
        <v>13</v>
      </c>
      <c r="E82" s="205"/>
      <c r="F82" s="213" t="s">
        <v>44</v>
      </c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5"/>
      <c r="R82" s="216"/>
    </row>
    <row r="83" spans="2:18" s="19" customFormat="1" ht="27.75" customHeight="1">
      <c r="B83" s="198"/>
      <c r="C83" s="199"/>
      <c r="D83" s="204" t="s">
        <v>45</v>
      </c>
      <c r="E83" s="205"/>
      <c r="F83" s="213" t="s">
        <v>46</v>
      </c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5"/>
      <c r="R83" s="216"/>
    </row>
    <row r="84" spans="2:18" s="19" customFormat="1" ht="27.75" customHeight="1">
      <c r="B84" s="198"/>
      <c r="C84" s="199"/>
      <c r="D84" s="204" t="s">
        <v>47</v>
      </c>
      <c r="E84" s="205"/>
      <c r="F84" s="213" t="s">
        <v>48</v>
      </c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5"/>
      <c r="R84" s="216"/>
    </row>
    <row r="85" spans="2:18" s="19" customFormat="1" ht="41.25" customHeight="1">
      <c r="B85" s="198"/>
      <c r="C85" s="199"/>
      <c r="D85" s="204" t="s">
        <v>15</v>
      </c>
      <c r="E85" s="205"/>
      <c r="F85" s="213" t="s">
        <v>49</v>
      </c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5"/>
      <c r="R85" s="216"/>
    </row>
    <row r="86" spans="2:18" s="19" customFormat="1" ht="27.75" customHeight="1" thickBot="1">
      <c r="B86" s="200"/>
      <c r="C86" s="201"/>
      <c r="D86" s="208" t="s">
        <v>16</v>
      </c>
      <c r="E86" s="194"/>
      <c r="F86" s="217" t="s">
        <v>50</v>
      </c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9"/>
      <c r="R86" s="220"/>
    </row>
    <row r="87" spans="2:18" s="19" customFormat="1" ht="25.5" customHeight="1" thickBot="1"/>
    <row r="88" spans="2:18" ht="39.75" customHeight="1" thickBot="1">
      <c r="B88" s="179" t="s">
        <v>51</v>
      </c>
      <c r="C88" s="180"/>
      <c r="D88" s="180"/>
      <c r="E88" s="180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20"/>
    </row>
    <row r="89" spans="2:18" ht="29.2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</row>
    <row r="90" spans="2:18" ht="17.25" customHeight="1" thickBot="1"/>
    <row r="91" spans="2:18" ht="18" thickBot="1">
      <c r="C91" s="21" t="s">
        <v>52</v>
      </c>
      <c r="D91" s="37" t="s">
        <v>53</v>
      </c>
      <c r="E91" s="38"/>
      <c r="F91" s="22"/>
      <c r="G91" s="36" t="s">
        <v>54</v>
      </c>
      <c r="H91" s="22"/>
      <c r="I91" s="39" t="str">
        <f>IF(B2="Tripda Report - Daily","Rank on " &amp;  TEXT(B11,"dd/mm"))</f>
        <v>Rank on Second quarter</v>
      </c>
      <c r="J91" s="94"/>
      <c r="K91" s="40"/>
      <c r="L91" s="94"/>
      <c r="M91" s="36" t="str">
        <f>IF(B2="Tripda Report - Daily","Rank on " &amp;  TEXT(B12,"dd/mm"))</f>
        <v>Rank on First quarter</v>
      </c>
      <c r="N91" s="41"/>
    </row>
    <row r="92" spans="2:18" ht="17.25">
      <c r="C92" s="23" t="s">
        <v>55</v>
      </c>
      <c r="D92" s="251" t="str">
        <f t="shared" ref="D92:D102" si="12">VLOOKUP(G92,$F$108:$N$118,$F$120,0)</f>
        <v>Brasil</v>
      </c>
      <c r="E92" s="252"/>
      <c r="F92" s="253"/>
      <c r="G92" s="243">
        <f>VLOOKUP(1,$E$108:$F$118,2,0)</f>
        <v>219694340167.74982</v>
      </c>
      <c r="H92" s="244"/>
      <c r="I92" s="221" t="e">
        <f>VLOOKUP(D92,[1]Teste!$N$47:$Q$57,4,0)</f>
        <v>#N/A</v>
      </c>
      <c r="J92" s="237"/>
      <c r="K92" s="238"/>
      <c r="L92" s="101"/>
      <c r="M92" s="221" t="e">
        <f>VLOOKUP(D92,[1]Teste!$N$47:$S$57,6,0)</f>
        <v>#N/A</v>
      </c>
      <c r="N92" s="222"/>
    </row>
    <row r="93" spans="2:18" ht="17.25">
      <c r="C93" s="24" t="s">
        <v>56</v>
      </c>
      <c r="D93" s="254" t="str">
        <f t="shared" si="12"/>
        <v>India</v>
      </c>
      <c r="E93" s="255"/>
      <c r="F93" s="256"/>
      <c r="G93" s="245">
        <f>VLOOKUP(2,$E$108:$F$118,2,0)</f>
        <v>120372816030.24339</v>
      </c>
      <c r="H93" s="246"/>
      <c r="I93" s="223">
        <f>VLOOKUP(D93,[1]Teste!$N$47:$Q$57,4,0)</f>
        <v>4</v>
      </c>
      <c r="J93" s="239"/>
      <c r="K93" s="240"/>
      <c r="L93" s="102"/>
      <c r="M93" s="223">
        <f>VLOOKUP(D93,[1]Teste!$N$47:$S$57,6,0)</f>
        <v>1</v>
      </c>
      <c r="N93" s="224"/>
    </row>
    <row r="94" spans="2:18" ht="17.25">
      <c r="C94" s="25" t="s">
        <v>57</v>
      </c>
      <c r="D94" s="257" t="str">
        <f t="shared" si="12"/>
        <v>Colombia</v>
      </c>
      <c r="E94" s="258"/>
      <c r="F94" s="259"/>
      <c r="G94" s="192">
        <f>VLOOKUP(3,$E$108:$F$118,2,0)</f>
        <v>100252833804.87079</v>
      </c>
      <c r="H94" s="193"/>
      <c r="I94" s="223">
        <f>VLOOKUP(D94,[1]Teste!$N$47:$Q$57,4,0)</f>
        <v>5</v>
      </c>
      <c r="J94" s="239"/>
      <c r="K94" s="240"/>
      <c r="L94" s="102"/>
      <c r="M94" s="223">
        <f>VLOOKUP(D94,[1]Teste!$N$47:$S$57,6,0)</f>
        <v>1</v>
      </c>
      <c r="N94" s="224"/>
      <c r="P94" s="26"/>
      <c r="Q94" s="26"/>
    </row>
    <row r="95" spans="2:18" ht="17.25">
      <c r="C95" s="27" t="s">
        <v>58</v>
      </c>
      <c r="D95" s="260" t="str">
        <f t="shared" si="12"/>
        <v>Pakistan</v>
      </c>
      <c r="E95" s="261"/>
      <c r="F95" s="262"/>
      <c r="G95" s="209">
        <f>VLOOKUP(4,$E$108:$F$118,2,0)</f>
        <v>80196341960.693588</v>
      </c>
      <c r="H95" s="210"/>
      <c r="I95" s="223">
        <f>VLOOKUP(D95,[1]Teste!$N$47:$Q$57,4,0)</f>
        <v>11</v>
      </c>
      <c r="J95" s="239"/>
      <c r="K95" s="240"/>
      <c r="L95" s="102"/>
      <c r="M95" s="223">
        <f>VLOOKUP(D95,[1]Teste!$N$47:$S$57,6,0)</f>
        <v>1</v>
      </c>
      <c r="N95" s="224"/>
    </row>
    <row r="96" spans="2:18" ht="17.25">
      <c r="C96" s="27" t="s">
        <v>59</v>
      </c>
      <c r="D96" s="260" t="str">
        <f t="shared" si="12"/>
        <v>Chile</v>
      </c>
      <c r="E96" s="261"/>
      <c r="F96" s="262"/>
      <c r="G96" s="209">
        <f>VLOOKUP(5,$E$108:$F$118,2,0)</f>
        <v>68312256223.07016</v>
      </c>
      <c r="H96" s="210"/>
      <c r="I96" s="223">
        <f>VLOOKUP(D96,[1]Teste!$N$47:$Q$57,4,0)</f>
        <v>2</v>
      </c>
      <c r="J96" s="239"/>
      <c r="K96" s="240"/>
      <c r="L96" s="102"/>
      <c r="M96" s="223">
        <f>VLOOKUP(D96,[1]Teste!$N$47:$S$57,6,0)</f>
        <v>1</v>
      </c>
      <c r="N96" s="224"/>
    </row>
    <row r="97" spans="3:14" ht="17.25">
      <c r="C97" s="27" t="s">
        <v>60</v>
      </c>
      <c r="D97" s="260" t="str">
        <f t="shared" si="12"/>
        <v>Mexico</v>
      </c>
      <c r="E97" s="261"/>
      <c r="F97" s="262"/>
      <c r="G97" s="209">
        <f>VLOOKUP(6,$E$108:$F$118,2,0)</f>
        <v>22347103134.268398</v>
      </c>
      <c r="H97" s="210"/>
      <c r="I97" s="223">
        <f>VLOOKUP(D97,[1]Teste!$N$47:$Q$57,4,0)</f>
        <v>6</v>
      </c>
      <c r="J97" s="239"/>
      <c r="K97" s="240"/>
      <c r="L97" s="102"/>
      <c r="M97" s="223">
        <f>VLOOKUP(D97,[1]Teste!$N$47:$S$57,6,0)</f>
        <v>1</v>
      </c>
      <c r="N97" s="224"/>
    </row>
    <row r="98" spans="3:14" ht="17.25">
      <c r="C98" s="27" t="s">
        <v>61</v>
      </c>
      <c r="D98" s="260" t="str">
        <f t="shared" si="12"/>
        <v>Malaysia + Singapore</v>
      </c>
      <c r="E98" s="261"/>
      <c r="F98" s="262"/>
      <c r="G98" s="209">
        <f>VLOOKUP(7,$E$108:$F$118,2,0)</f>
        <v>13850629252.27404</v>
      </c>
      <c r="H98" s="210"/>
      <c r="I98" s="223">
        <f>VLOOKUP(D98,[1]Teste!$N$47:$Q$57,4,0)</f>
        <v>3</v>
      </c>
      <c r="J98" s="239"/>
      <c r="K98" s="240"/>
      <c r="L98" s="102"/>
      <c r="M98" s="223">
        <f>VLOOKUP(D98,[1]Teste!$N$47:$S$57,6,0)</f>
        <v>1</v>
      </c>
      <c r="N98" s="224"/>
    </row>
    <row r="99" spans="3:14" ht="17.25">
      <c r="C99" s="27" t="s">
        <v>62</v>
      </c>
      <c r="D99" s="260" t="str">
        <f t="shared" si="12"/>
        <v>Argentina + Uruguay</v>
      </c>
      <c r="E99" s="261"/>
      <c r="F99" s="262"/>
      <c r="G99" s="209">
        <f>VLOOKUP(8,$E$108:$F$118,2,0)</f>
        <v>12943968887.008141</v>
      </c>
      <c r="H99" s="210"/>
      <c r="I99" s="223">
        <f>VLOOKUP(D99,[1]Teste!$N$47:$Q$57,4,0)</f>
        <v>8</v>
      </c>
      <c r="J99" s="239"/>
      <c r="K99" s="240"/>
      <c r="L99" s="102"/>
      <c r="M99" s="223">
        <f>VLOOKUP(D99,[1]Teste!$N$47:$S$57,6,0)</f>
        <v>1</v>
      </c>
      <c r="N99" s="224"/>
    </row>
    <row r="100" spans="3:14" ht="17.25">
      <c r="C100" s="28" t="s">
        <v>63</v>
      </c>
      <c r="D100" s="263" t="str">
        <f t="shared" si="12"/>
        <v>United States</v>
      </c>
      <c r="E100" s="264"/>
      <c r="F100" s="265"/>
      <c r="G100" s="211">
        <f>VLOOKUP(9,$E$108:$F$118,2,0)</f>
        <v>1213079.986</v>
      </c>
      <c r="H100" s="212"/>
      <c r="I100" s="223">
        <f>VLOOKUP(D100,[1]Teste!$N$47:$Q$57,4,0)</f>
        <v>7</v>
      </c>
      <c r="J100" s="239"/>
      <c r="K100" s="240"/>
      <c r="L100" s="102"/>
      <c r="M100" s="223">
        <f>VLOOKUP(D100,[1]Teste!$N$47:$S$57,6,0)</f>
        <v>1</v>
      </c>
      <c r="N100" s="224"/>
    </row>
    <row r="101" spans="3:14" ht="17.25">
      <c r="C101" s="28" t="s">
        <v>64</v>
      </c>
      <c r="D101" s="263" t="str">
        <f t="shared" si="12"/>
        <v>Philippines</v>
      </c>
      <c r="E101" s="264"/>
      <c r="F101" s="265"/>
      <c r="G101" s="211">
        <f>VLOOKUP(10,$E$108:$F$118,2,0)</f>
        <v>1022839.848</v>
      </c>
      <c r="H101" s="212"/>
      <c r="I101" s="223">
        <f>VLOOKUP(D101,[1]Teste!$N$47:$Q$57,4,0)</f>
        <v>9</v>
      </c>
      <c r="J101" s="239"/>
      <c r="K101" s="240"/>
      <c r="L101" s="102"/>
      <c r="M101" s="223">
        <f>VLOOKUP(D101,[1]Teste!$N$47:$S$57,6,0)</f>
        <v>1</v>
      </c>
      <c r="N101" s="224"/>
    </row>
    <row r="102" spans="3:14" ht="18" thickBot="1">
      <c r="C102" s="29" t="s">
        <v>65</v>
      </c>
      <c r="D102" s="266" t="str">
        <f t="shared" si="12"/>
        <v>Taiwan</v>
      </c>
      <c r="E102" s="267"/>
      <c r="F102" s="268"/>
      <c r="G102" s="235">
        <f>VLOOKUP(11,$E$108:$F$118,2,0)</f>
        <v>330466.57265000005</v>
      </c>
      <c r="H102" s="236"/>
      <c r="I102" s="225">
        <f>VLOOKUP(D102,[1]Teste!$N$47:$Q$57,4,0)</f>
        <v>10</v>
      </c>
      <c r="J102" s="241"/>
      <c r="K102" s="242"/>
      <c r="L102" s="103"/>
      <c r="M102" s="225">
        <f>VLOOKUP(D102,[1]Teste!$N$47:$S$57,6,0)</f>
        <v>1</v>
      </c>
      <c r="N102" s="226"/>
    </row>
    <row r="106" spans="3:14" ht="15.75" thickBot="1"/>
    <row r="107" spans="3:14" ht="15.75" thickBot="1">
      <c r="C107" s="271" t="s">
        <v>17</v>
      </c>
      <c r="D107" s="272"/>
      <c r="E107" s="73" t="s">
        <v>66</v>
      </c>
      <c r="F107" s="74" t="s">
        <v>67</v>
      </c>
      <c r="G107" s="75" t="s">
        <v>68</v>
      </c>
      <c r="H107" s="75" t="s">
        <v>69</v>
      </c>
      <c r="I107" s="75" t="s">
        <v>70</v>
      </c>
      <c r="J107" s="75"/>
      <c r="K107" s="76" t="s">
        <v>71</v>
      </c>
      <c r="L107" s="104"/>
    </row>
    <row r="108" spans="3:14">
      <c r="C108" s="269" t="s">
        <v>25</v>
      </c>
      <c r="D108" s="270"/>
      <c r="E108" s="77">
        <f>RANK(F108,$F$108:$F$118)</f>
        <v>9</v>
      </c>
      <c r="F108" s="108">
        <f>R14 + 0.01</f>
        <v>1213079.986</v>
      </c>
      <c r="G108" s="30" t="e">
        <f>RANK(H108,$T$57:$T$69)</f>
        <v>#REF!</v>
      </c>
      <c r="H108" s="30" t="e">
        <f>#REF!</f>
        <v>#REF!</v>
      </c>
      <c r="I108" s="30" t="e">
        <f t="shared" ref="I108:I118" si="13">RANK(K108,$V$57:$V$69)</f>
        <v>#REF!</v>
      </c>
      <c r="J108" s="95"/>
      <c r="K108" s="31" t="e">
        <f>#REF!</f>
        <v>#REF!</v>
      </c>
      <c r="L108" s="105"/>
      <c r="M108" s="269" t="s">
        <v>25</v>
      </c>
      <c r="N108" s="270"/>
    </row>
    <row r="109" spans="3:14">
      <c r="C109" s="269" t="s">
        <v>24</v>
      </c>
      <c r="D109" s="270"/>
      <c r="E109" s="78">
        <f>RANK(F109,$F$108:$F$118)</f>
        <v>11</v>
      </c>
      <c r="F109" s="109">
        <f>R19 + 0.02</f>
        <v>330466.57265000005</v>
      </c>
      <c r="G109" s="32" t="e">
        <f t="shared" ref="G109:G118" si="14">RANK(H109,$T$57:$T$69)</f>
        <v>#REF!</v>
      </c>
      <c r="H109" s="32" t="e">
        <f>#REF!</f>
        <v>#REF!</v>
      </c>
      <c r="I109" s="32" t="e">
        <f t="shared" si="13"/>
        <v>#REF!</v>
      </c>
      <c r="J109" s="96"/>
      <c r="K109" s="33" t="e">
        <f>#REF!</f>
        <v>#REF!</v>
      </c>
      <c r="L109" s="106"/>
      <c r="M109" s="269" t="s">
        <v>24</v>
      </c>
      <c r="N109" s="270"/>
    </row>
    <row r="110" spans="3:14">
      <c r="C110" s="269" t="s">
        <v>23</v>
      </c>
      <c r="D110" s="270"/>
      <c r="E110" s="78">
        <f t="shared" ref="E110:E118" si="15">RANK(F110,$F$108:$F$118)</f>
        <v>10</v>
      </c>
      <c r="F110" s="109">
        <f>R24 + 0.03</f>
        <v>1022839.848</v>
      </c>
      <c r="G110" s="32" t="e">
        <f t="shared" si="14"/>
        <v>#REF!</v>
      </c>
      <c r="H110" s="32" t="e">
        <f>#REF!</f>
        <v>#REF!</v>
      </c>
      <c r="I110" s="32" t="e">
        <f t="shared" si="13"/>
        <v>#REF!</v>
      </c>
      <c r="J110" s="96"/>
      <c r="K110" s="33" t="e">
        <f>#REF!</f>
        <v>#REF!</v>
      </c>
      <c r="L110" s="106"/>
      <c r="M110" s="269" t="s">
        <v>23</v>
      </c>
      <c r="N110" s="270"/>
    </row>
    <row r="111" spans="3:14">
      <c r="C111" s="269" t="s">
        <v>27</v>
      </c>
      <c r="D111" s="270"/>
      <c r="E111" s="78">
        <f t="shared" si="15"/>
        <v>4</v>
      </c>
      <c r="F111" s="109">
        <f>R29 + 0.04</f>
        <v>80196341960.693588</v>
      </c>
      <c r="G111" s="32" t="e">
        <f t="shared" si="14"/>
        <v>#REF!</v>
      </c>
      <c r="H111" s="32" t="e">
        <f>#REF! +#REF!</f>
        <v>#REF!</v>
      </c>
      <c r="I111" s="32" t="e">
        <f t="shared" si="13"/>
        <v>#REF!</v>
      </c>
      <c r="J111" s="96"/>
      <c r="K111" s="33" t="e">
        <f>#REF! +#REF!</f>
        <v>#REF!</v>
      </c>
      <c r="L111" s="106"/>
      <c r="M111" s="269" t="s">
        <v>27</v>
      </c>
      <c r="N111" s="270"/>
    </row>
    <row r="112" spans="3:14">
      <c r="C112" s="247" t="s">
        <v>19</v>
      </c>
      <c r="D112" s="248"/>
      <c r="E112" s="78">
        <f t="shared" si="15"/>
        <v>6</v>
      </c>
      <c r="F112" s="109">
        <f>R34 + 0.05</f>
        <v>22347103134.268398</v>
      </c>
      <c r="G112" s="32" t="e">
        <f t="shared" si="14"/>
        <v>#REF!</v>
      </c>
      <c r="H112" s="32" t="e">
        <f>#REF!</f>
        <v>#REF!</v>
      </c>
      <c r="I112" s="32" t="e">
        <f t="shared" si="13"/>
        <v>#REF!</v>
      </c>
      <c r="J112" s="96"/>
      <c r="K112" s="33" t="e">
        <f>#REF!</f>
        <v>#REF!</v>
      </c>
      <c r="L112" s="106"/>
      <c r="M112" s="247" t="s">
        <v>19</v>
      </c>
      <c r="N112" s="248"/>
    </row>
    <row r="113" spans="3:14">
      <c r="C113" s="269" t="s">
        <v>20</v>
      </c>
      <c r="D113" s="270"/>
      <c r="E113" s="78">
        <f t="shared" si="15"/>
        <v>7</v>
      </c>
      <c r="F113" s="109">
        <f>R39 + 0.06</f>
        <v>13850629252.27404</v>
      </c>
      <c r="G113" s="32" t="e">
        <f t="shared" si="14"/>
        <v>#REF!</v>
      </c>
      <c r="H113" s="32" t="e">
        <f>#REF!+#REF!</f>
        <v>#REF!</v>
      </c>
      <c r="I113" s="32" t="e">
        <f t="shared" si="13"/>
        <v>#REF!</v>
      </c>
      <c r="J113" s="96"/>
      <c r="K113" s="33" t="e">
        <f>#REF!+#REF!</f>
        <v>#REF!</v>
      </c>
      <c r="L113" s="106"/>
      <c r="M113" s="269" t="s">
        <v>20</v>
      </c>
      <c r="N113" s="270"/>
    </row>
    <row r="114" spans="3:14">
      <c r="C114" s="269" t="s">
        <v>26</v>
      </c>
      <c r="D114" s="270"/>
      <c r="E114" s="78">
        <f t="shared" si="15"/>
        <v>2</v>
      </c>
      <c r="F114" s="109">
        <f>R44 + 0.07</f>
        <v>120372816030.24339</v>
      </c>
      <c r="G114" s="32" t="e">
        <f t="shared" si="14"/>
        <v>#REF!</v>
      </c>
      <c r="H114" s="32" t="e">
        <f>#REF!</f>
        <v>#REF!</v>
      </c>
      <c r="I114" s="32" t="e">
        <f t="shared" si="13"/>
        <v>#REF!</v>
      </c>
      <c r="J114" s="96"/>
      <c r="K114" s="33" t="e">
        <f>#REF!</f>
        <v>#REF!</v>
      </c>
      <c r="L114" s="106"/>
      <c r="M114" s="269" t="s">
        <v>26</v>
      </c>
      <c r="N114" s="270"/>
    </row>
    <row r="115" spans="3:14">
      <c r="C115" s="247" t="s">
        <v>18</v>
      </c>
      <c r="D115" s="248"/>
      <c r="E115" s="78">
        <f t="shared" si="15"/>
        <v>3</v>
      </c>
      <c r="F115" s="109">
        <f>R49 + 0.08</f>
        <v>100252833804.87079</v>
      </c>
      <c r="G115" s="32" t="e">
        <f t="shared" si="14"/>
        <v>#REF!</v>
      </c>
      <c r="H115" s="32" t="e">
        <f>#REF!</f>
        <v>#REF!</v>
      </c>
      <c r="I115" s="32" t="e">
        <f t="shared" si="13"/>
        <v>#REF!</v>
      </c>
      <c r="J115" s="96"/>
      <c r="K115" s="33" t="e">
        <f>#REF!</f>
        <v>#REF!</v>
      </c>
      <c r="L115" s="106"/>
      <c r="M115" s="247" t="s">
        <v>18</v>
      </c>
      <c r="N115" s="248"/>
    </row>
    <row r="116" spans="3:14">
      <c r="C116" s="269" t="s">
        <v>21</v>
      </c>
      <c r="D116" s="270"/>
      <c r="E116" s="78">
        <f t="shared" si="15"/>
        <v>5</v>
      </c>
      <c r="F116" s="109">
        <f>R54 + 0.09</f>
        <v>68312256223.07016</v>
      </c>
      <c r="G116" s="32" t="e">
        <f t="shared" si="14"/>
        <v>#REF!</v>
      </c>
      <c r="H116" s="32" t="e">
        <f>#REF!</f>
        <v>#REF!</v>
      </c>
      <c r="I116" s="32" t="e">
        <f t="shared" si="13"/>
        <v>#REF!</v>
      </c>
      <c r="J116" s="96"/>
      <c r="K116" s="33" t="e">
        <f>#REF!</f>
        <v>#REF!</v>
      </c>
      <c r="L116" s="106"/>
      <c r="M116" s="269" t="s">
        <v>21</v>
      </c>
      <c r="N116" s="270"/>
    </row>
    <row r="117" spans="3:14">
      <c r="C117" s="247" t="s">
        <v>72</v>
      </c>
      <c r="D117" s="248"/>
      <c r="E117" s="78">
        <f t="shared" si="15"/>
        <v>1</v>
      </c>
      <c r="F117" s="109">
        <f>R59 + 0.1</f>
        <v>219694340167.74982</v>
      </c>
      <c r="G117" s="32" t="e">
        <f t="shared" si="14"/>
        <v>#REF!</v>
      </c>
      <c r="H117" s="32" t="e">
        <f>#REF!</f>
        <v>#REF!</v>
      </c>
      <c r="I117" s="32" t="e">
        <f t="shared" si="13"/>
        <v>#REF!</v>
      </c>
      <c r="J117" s="96"/>
      <c r="K117" s="33" t="e">
        <f>#REF!</f>
        <v>#REF!</v>
      </c>
      <c r="L117" s="106"/>
      <c r="M117" s="247" t="s">
        <v>72</v>
      </c>
      <c r="N117" s="248"/>
    </row>
    <row r="118" spans="3:14" ht="15.75" thickBot="1">
      <c r="C118" s="249" t="s">
        <v>22</v>
      </c>
      <c r="D118" s="250"/>
      <c r="E118" s="79">
        <f t="shared" si="15"/>
        <v>8</v>
      </c>
      <c r="F118" s="110">
        <f>R64 + 0.11</f>
        <v>12943968887.008141</v>
      </c>
      <c r="G118" s="34" t="e">
        <f t="shared" si="14"/>
        <v>#REF!</v>
      </c>
      <c r="H118" s="34" t="e">
        <f>#REF!</f>
        <v>#REF!</v>
      </c>
      <c r="I118" s="34" t="e">
        <f t="shared" si="13"/>
        <v>#REF!</v>
      </c>
      <c r="J118" s="97"/>
      <c r="K118" s="35" t="e">
        <f>#REF!</f>
        <v>#REF!</v>
      </c>
      <c r="L118" s="107"/>
      <c r="M118" s="249" t="s">
        <v>22</v>
      </c>
      <c r="N118" s="250"/>
    </row>
    <row r="120" spans="3:14">
      <c r="F120">
        <f>G120+H120</f>
        <v>8</v>
      </c>
      <c r="G120">
        <f>COUNTA(F118:M118)</f>
        <v>6</v>
      </c>
      <c r="H120">
        <f>COUNTBLANK(F118:M118)</f>
        <v>2</v>
      </c>
    </row>
  </sheetData>
  <sortState ref="F123:F132">
    <sortCondition descending="1" ref="F122"/>
  </sortState>
  <mergeCells count="105">
    <mergeCell ref="M118:N118"/>
    <mergeCell ref="M113:N113"/>
    <mergeCell ref="M114:N114"/>
    <mergeCell ref="M115:N115"/>
    <mergeCell ref="M116:N116"/>
    <mergeCell ref="M117:N117"/>
    <mergeCell ref="M108:N108"/>
    <mergeCell ref="M109:N109"/>
    <mergeCell ref="M110:N110"/>
    <mergeCell ref="M111:N111"/>
    <mergeCell ref="M112:N112"/>
    <mergeCell ref="C117:D117"/>
    <mergeCell ref="C118:D118"/>
    <mergeCell ref="D92:F92"/>
    <mergeCell ref="D93:F93"/>
    <mergeCell ref="D94:F94"/>
    <mergeCell ref="D95:F95"/>
    <mergeCell ref="D96:F96"/>
    <mergeCell ref="D97:F97"/>
    <mergeCell ref="D98:F98"/>
    <mergeCell ref="D99:F99"/>
    <mergeCell ref="D100:F100"/>
    <mergeCell ref="D101:F101"/>
    <mergeCell ref="D102:F102"/>
    <mergeCell ref="C112:D112"/>
    <mergeCell ref="C113:D113"/>
    <mergeCell ref="C114:D114"/>
    <mergeCell ref="C115:D115"/>
    <mergeCell ref="C116:D116"/>
    <mergeCell ref="C107:D107"/>
    <mergeCell ref="C108:D108"/>
    <mergeCell ref="C109:D109"/>
    <mergeCell ref="C110:D110"/>
    <mergeCell ref="C111:D111"/>
    <mergeCell ref="M102:N102"/>
    <mergeCell ref="F73:R73"/>
    <mergeCell ref="F74:R74"/>
    <mergeCell ref="F75:R75"/>
    <mergeCell ref="F76:R76"/>
    <mergeCell ref="F77:R77"/>
    <mergeCell ref="F78:R78"/>
    <mergeCell ref="F79:R79"/>
    <mergeCell ref="G102:H102"/>
    <mergeCell ref="I92:K92"/>
    <mergeCell ref="I93:K93"/>
    <mergeCell ref="I94:K94"/>
    <mergeCell ref="I95:K95"/>
    <mergeCell ref="I96:K96"/>
    <mergeCell ref="I97:K97"/>
    <mergeCell ref="I98:K98"/>
    <mergeCell ref="I99:K99"/>
    <mergeCell ref="I100:K100"/>
    <mergeCell ref="I101:K101"/>
    <mergeCell ref="I102:K102"/>
    <mergeCell ref="G92:H92"/>
    <mergeCell ref="G93:H93"/>
    <mergeCell ref="G96:H96"/>
    <mergeCell ref="G97:H97"/>
    <mergeCell ref="G98:H98"/>
    <mergeCell ref="G99:H99"/>
    <mergeCell ref="G100:H100"/>
    <mergeCell ref="G101:H101"/>
    <mergeCell ref="F80:R80"/>
    <mergeCell ref="F81:R81"/>
    <mergeCell ref="F82:R82"/>
    <mergeCell ref="F83:R83"/>
    <mergeCell ref="F84:R84"/>
    <mergeCell ref="B88:P88"/>
    <mergeCell ref="F85:R85"/>
    <mergeCell ref="F86:R86"/>
    <mergeCell ref="M92:N92"/>
    <mergeCell ref="M93:N93"/>
    <mergeCell ref="M94:N94"/>
    <mergeCell ref="M95:N95"/>
    <mergeCell ref="M96:N96"/>
    <mergeCell ref="M97:N97"/>
    <mergeCell ref="M98:N98"/>
    <mergeCell ref="M99:N99"/>
    <mergeCell ref="M100:N100"/>
    <mergeCell ref="M101:N101"/>
    <mergeCell ref="G95:H95"/>
    <mergeCell ref="B2:R2"/>
    <mergeCell ref="C6:H6"/>
    <mergeCell ref="I6:R6"/>
    <mergeCell ref="B69:C69"/>
    <mergeCell ref="D69:G69"/>
    <mergeCell ref="B70:C70"/>
    <mergeCell ref="D70:G70"/>
    <mergeCell ref="G94:H94"/>
    <mergeCell ref="D78:E78"/>
    <mergeCell ref="B79:C86"/>
    <mergeCell ref="D79:E79"/>
    <mergeCell ref="D80:E80"/>
    <mergeCell ref="D81:E81"/>
    <mergeCell ref="B73:C78"/>
    <mergeCell ref="D73:E73"/>
    <mergeCell ref="D74:E74"/>
    <mergeCell ref="D75:E75"/>
    <mergeCell ref="D82:E82"/>
    <mergeCell ref="D83:E83"/>
    <mergeCell ref="D84:E84"/>
    <mergeCell ref="D85:E85"/>
    <mergeCell ref="D86:E86"/>
    <mergeCell ref="D76:E76"/>
    <mergeCell ref="D77:E77"/>
  </mergeCells>
  <conditionalFormatting sqref="I92:J102 M92:M102">
    <cfRule type="cellIs" dxfId="19" priority="1" operator="greaterThan">
      <formula>8</formula>
    </cfRule>
    <cfRule type="cellIs" dxfId="18" priority="2" operator="equal">
      <formula>3</formula>
    </cfRule>
    <cfRule type="cellIs" dxfId="17" priority="3" operator="equal">
      <formula>2</formula>
    </cfRule>
    <cfRule type="cellIs" dxfId="16" priority="4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1:U142"/>
  <sheetViews>
    <sheetView showGridLines="0" zoomScale="70" zoomScaleNormal="70" zoomScalePageLayoutView="70" workbookViewId="0">
      <selection activeCell="E7" sqref="E7"/>
    </sheetView>
  </sheetViews>
  <sheetFormatPr defaultRowHeight="15"/>
  <cols>
    <col min="1" max="1" width="5.7109375" customWidth="1"/>
    <col min="2" max="2" width="20" customWidth="1"/>
    <col min="3" max="3" width="10.28515625" customWidth="1"/>
    <col min="4" max="4" width="11.85546875" customWidth="1"/>
    <col min="5" max="5" width="13.42578125" customWidth="1"/>
    <col min="6" max="6" width="13.5703125" customWidth="1"/>
    <col min="7" max="7" width="12.140625" customWidth="1"/>
    <col min="8" max="8" width="15.7109375" customWidth="1"/>
    <col min="9" max="10" width="11.5703125" customWidth="1"/>
    <col min="11" max="12" width="13.28515625" customWidth="1"/>
    <col min="13" max="13" width="16.7109375" customWidth="1"/>
    <col min="14" max="14" width="12.7109375" customWidth="1"/>
    <col min="15" max="15" width="14.85546875" customWidth="1"/>
    <col min="16" max="17" width="14.42578125" customWidth="1"/>
    <col min="18" max="18" width="14.85546875" customWidth="1"/>
  </cols>
  <sheetData>
    <row r="1" spans="2:21" ht="15.75" thickBot="1"/>
    <row r="2" spans="2:21" s="1" customFormat="1" ht="40.5" customHeight="1" thickBot="1">
      <c r="B2" s="179" t="str">
        <f>'Report Rodrigo'!B2:R2</f>
        <v>Tripda Report - Daily</v>
      </c>
      <c r="C2" s="180"/>
      <c r="D2" s="180"/>
      <c r="E2" s="180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</row>
    <row r="4" spans="2:21">
      <c r="B4" s="178"/>
      <c r="C4" s="178"/>
      <c r="D4" s="178"/>
      <c r="E4" s="178"/>
      <c r="K4" s="5"/>
      <c r="L4" s="5"/>
      <c r="M4" s="5"/>
      <c r="N4" s="5"/>
      <c r="O4" s="5"/>
    </row>
    <row r="5" spans="2:21" ht="15.75" thickBot="1">
      <c r="B5" s="6"/>
      <c r="C5" s="6"/>
      <c r="D5" s="6"/>
      <c r="E5" s="6"/>
      <c r="G5" s="5"/>
      <c r="H5" s="5"/>
      <c r="I5" s="5"/>
      <c r="J5" s="5"/>
      <c r="K5" s="5"/>
      <c r="L5" s="5"/>
      <c r="M5" s="5"/>
      <c r="N5" s="5"/>
      <c r="O5" s="5"/>
    </row>
    <row r="6" spans="2:21" ht="24" thickBot="1">
      <c r="B6" s="7"/>
      <c r="C6" s="182" t="s">
        <v>2</v>
      </c>
      <c r="D6" s="183"/>
      <c r="E6" s="183"/>
      <c r="F6" s="183"/>
      <c r="G6" s="183"/>
      <c r="H6" s="183"/>
      <c r="I6" s="273" t="s">
        <v>3</v>
      </c>
      <c r="J6" s="185"/>
      <c r="K6" s="185"/>
      <c r="L6" s="185"/>
      <c r="M6" s="185"/>
      <c r="N6" s="185"/>
      <c r="O6" s="185"/>
      <c r="P6" s="185"/>
      <c r="Q6" s="185"/>
      <c r="R6" s="186"/>
    </row>
    <row r="7" spans="2:21" ht="60" customHeight="1" thickBot="1">
      <c r="B7" s="84"/>
      <c r="C7" s="9" t="s">
        <v>4</v>
      </c>
      <c r="D7" s="10" t="s">
        <v>5</v>
      </c>
      <c r="E7" s="11" t="s">
        <v>103</v>
      </c>
      <c r="F7" s="12" t="s">
        <v>7</v>
      </c>
      <c r="G7" s="12" t="s">
        <v>8</v>
      </c>
      <c r="H7" s="168" t="s">
        <v>9</v>
      </c>
      <c r="I7" s="9" t="s">
        <v>10</v>
      </c>
      <c r="J7" s="10" t="s">
        <v>75</v>
      </c>
      <c r="K7" s="12" t="s">
        <v>11</v>
      </c>
      <c r="L7" s="12" t="s">
        <v>76</v>
      </c>
      <c r="M7" s="12" t="s">
        <v>12</v>
      </c>
      <c r="N7" s="12" t="s">
        <v>13</v>
      </c>
      <c r="O7" s="12" t="s">
        <v>14</v>
      </c>
      <c r="P7" s="12" t="s">
        <v>15</v>
      </c>
      <c r="Q7" s="13" t="s">
        <v>16</v>
      </c>
      <c r="R7" s="13" t="s">
        <v>73</v>
      </c>
    </row>
    <row r="8" spans="2:21">
      <c r="B8" s="14" t="s">
        <v>17</v>
      </c>
      <c r="C8" s="14"/>
      <c r="D8" s="15"/>
      <c r="E8" s="15"/>
      <c r="F8" s="15"/>
      <c r="G8" s="15"/>
      <c r="H8" s="15"/>
      <c r="I8" s="14"/>
      <c r="J8" s="15"/>
      <c r="K8" s="15"/>
      <c r="L8" s="15"/>
      <c r="M8" s="15"/>
      <c r="N8" s="15"/>
      <c r="O8" s="15"/>
      <c r="P8" s="15"/>
      <c r="Q8" s="15"/>
      <c r="R8" s="16"/>
      <c r="U8" s="17"/>
    </row>
    <row r="9" spans="2:21">
      <c r="B9" s="85" t="str">
        <f>'Report Rodrigo'!B9</f>
        <v>Fourth quarter</v>
      </c>
      <c r="C9" s="89">
        <f>'Report Rodrigo'!C9</f>
        <v>74531</v>
      </c>
      <c r="D9" s="160">
        <f>'Report Rodrigo'!D9</f>
        <v>20032</v>
      </c>
      <c r="E9" s="166">
        <f>'Report Rodrigo'!E9</f>
        <v>28777</v>
      </c>
      <c r="F9" s="166">
        <f>'Report Rodrigo'!F9</f>
        <v>110869</v>
      </c>
      <c r="G9" s="166">
        <f>'Report Rodrigo'!G9</f>
        <v>263992</v>
      </c>
      <c r="H9" s="177">
        <f>'Report Rodrigo'!H9</f>
        <v>56676289</v>
      </c>
      <c r="I9" s="173">
        <f>'Report Rodrigo'!I9</f>
        <v>98492</v>
      </c>
      <c r="J9" s="166">
        <f>'Report Rodrigo'!J9</f>
        <v>55121</v>
      </c>
      <c r="K9" s="169">
        <f>'Report Rodrigo'!K9</f>
        <v>297918</v>
      </c>
      <c r="L9" s="166">
        <f>'Report Rodrigo'!L9</f>
        <v>91756</v>
      </c>
      <c r="M9" s="51">
        <f>'Report Rodrigo'!M9</f>
        <v>3.024794</v>
      </c>
      <c r="N9" s="150">
        <f>'Report Rodrigo'!N9</f>
        <v>0.33374199999999998</v>
      </c>
      <c r="O9" s="148">
        <f>'Report Rodrigo'!O9</f>
        <v>55.813339999999997</v>
      </c>
      <c r="P9" s="150">
        <f>'Report Rodrigo'!P9</f>
        <v>2.7005999999999999E-2</v>
      </c>
      <c r="Q9" s="150">
        <f>'Report Rodrigo'!Q9</f>
        <v>7.6895000000000005E-2</v>
      </c>
      <c r="R9" s="167">
        <f>'Report Rodrigo'!R9</f>
        <v>4516833416094.4277</v>
      </c>
    </row>
    <row r="10" spans="2:21">
      <c r="B10" s="85" t="str">
        <f>'Report Rodrigo'!B10</f>
        <v>Third quarter</v>
      </c>
      <c r="C10" s="89">
        <f>'Report Rodrigo'!C10</f>
        <v>74415</v>
      </c>
      <c r="D10" s="160">
        <f>'Report Rodrigo'!D10</f>
        <v>18917</v>
      </c>
      <c r="E10" s="166">
        <f>'Report Rodrigo'!E10</f>
        <v>23418</v>
      </c>
      <c r="F10" s="166">
        <f>'Report Rodrigo'!F10</f>
        <v>86621</v>
      </c>
      <c r="G10" s="166">
        <f>'Report Rodrigo'!G10</f>
        <v>173788</v>
      </c>
      <c r="H10" s="177">
        <f>'Report Rodrigo'!H10</f>
        <v>43707350</v>
      </c>
      <c r="I10" s="173">
        <f>'Report Rodrigo'!I10</f>
        <v>71261</v>
      </c>
      <c r="J10" s="166">
        <f>'Report Rodrigo'!J10</f>
        <v>36176</v>
      </c>
      <c r="K10" s="169">
        <f>'Report Rodrigo'!K10</f>
        <v>216356</v>
      </c>
      <c r="L10" s="166">
        <f>'Report Rodrigo'!L10</f>
        <v>56300</v>
      </c>
      <c r="M10" s="51">
        <f>'Report Rodrigo'!M10</f>
        <v>3.0361069999999999</v>
      </c>
      <c r="N10" s="150">
        <f>'Report Rodrigo'!N10</f>
        <v>0.33285799999999999</v>
      </c>
      <c r="O10" s="148">
        <f>'Report Rodrigo'!O10</f>
        <v>55.597720000000002</v>
      </c>
      <c r="P10" s="150">
        <f>'Report Rodrigo'!P10</f>
        <v>2.81E-2</v>
      </c>
      <c r="Q10" s="150">
        <f>'Report Rodrigo'!Q10</f>
        <v>8.7995000000000004E-2</v>
      </c>
      <c r="R10" s="167">
        <f>'Report Rodrigo'!R10</f>
        <v>2286050402445.1372</v>
      </c>
    </row>
    <row r="11" spans="2:21">
      <c r="B11" s="85" t="str">
        <f>'Report Rodrigo'!B11</f>
        <v>Second quarter</v>
      </c>
      <c r="C11" s="89">
        <f>'Report Rodrigo'!C11</f>
        <v>63307</v>
      </c>
      <c r="D11" s="160">
        <f>'Report Rodrigo'!D11</f>
        <v>13972</v>
      </c>
      <c r="E11" s="166">
        <f>'Report Rodrigo'!E11</f>
        <v>17731</v>
      </c>
      <c r="F11" s="166">
        <f>'Report Rodrigo'!F11</f>
        <v>61524</v>
      </c>
      <c r="G11" s="166">
        <f>'Report Rodrigo'!G11</f>
        <v>132448</v>
      </c>
      <c r="H11" s="177">
        <f>'Report Rodrigo'!H11</f>
        <v>37449786</v>
      </c>
      <c r="I11" s="173">
        <f>'Report Rodrigo'!I11</f>
        <v>59922</v>
      </c>
      <c r="J11" s="166">
        <f>'Report Rodrigo'!J11</f>
        <v>26536</v>
      </c>
      <c r="K11" s="169">
        <f>'Report Rodrigo'!K11</f>
        <v>163052</v>
      </c>
      <c r="L11" s="166">
        <f>'Report Rodrigo'!L11</f>
        <v>39339</v>
      </c>
      <c r="M11" s="54">
        <f>'Report Rodrigo'!M11</f>
        <v>2.7210709999999998</v>
      </c>
      <c r="N11" s="150">
        <f>'Report Rodrigo'!N11</f>
        <v>0.263374</v>
      </c>
      <c r="O11" s="148">
        <f>'Report Rodrigo'!O11</f>
        <v>58.322119999999998</v>
      </c>
      <c r="P11" s="150">
        <f>'Report Rodrigo'!P11</f>
        <v>2.7609000000000002E-2</v>
      </c>
      <c r="Q11" s="150">
        <f>'Report Rodrigo'!Q11</f>
        <v>6.1216E-2</v>
      </c>
      <c r="R11" s="167">
        <f>'Report Rodrigo'!R11</f>
        <v>1373410315687.2568</v>
      </c>
    </row>
    <row r="12" spans="2:21" ht="15.75" thickBot="1">
      <c r="B12" s="86" t="str">
        <f>'Report Rodrigo'!B12</f>
        <v>First quarter</v>
      </c>
      <c r="C12" s="90">
        <f>'Report Rodrigo'!C12</f>
        <v>76351</v>
      </c>
      <c r="D12" s="160">
        <f>'Report Rodrigo'!D12</f>
        <v>12766</v>
      </c>
      <c r="E12" s="166">
        <f>'Report Rodrigo'!E12</f>
        <v>13108</v>
      </c>
      <c r="F12" s="166">
        <f>'Report Rodrigo'!F12</f>
        <v>43679</v>
      </c>
      <c r="G12" s="166">
        <f>'Report Rodrigo'!G12</f>
        <v>56937</v>
      </c>
      <c r="H12" s="177">
        <f>'Report Rodrigo'!H12</f>
        <v>22950767</v>
      </c>
      <c r="I12" s="162">
        <f>'Report Rodrigo'!I12</f>
        <v>25601</v>
      </c>
      <c r="J12" s="171">
        <f>'Report Rodrigo'!J12</f>
        <v>14458</v>
      </c>
      <c r="K12" s="170">
        <f>'Report Rodrigo'!K12</f>
        <v>58587</v>
      </c>
      <c r="L12" s="171">
        <f>'Report Rodrigo'!L12</f>
        <v>22276</v>
      </c>
      <c r="M12" s="55">
        <f>'Report Rodrigo'!M12</f>
        <v>2.288465</v>
      </c>
      <c r="N12" s="151">
        <f>'Report Rodrigo'!N12</f>
        <v>0.21626899999999999</v>
      </c>
      <c r="O12" s="149">
        <f>'Report Rodrigo'!O12</f>
        <v>76.221699999999998</v>
      </c>
      <c r="P12" s="151">
        <f>'Report Rodrigo'!P12</f>
        <v>6.9999000000000006E-2</v>
      </c>
      <c r="Q12" s="151">
        <f>'Report Rodrigo'!Q12</f>
        <v>0.12929199999999999</v>
      </c>
      <c r="R12" s="172">
        <f>'Report Rodrigo'!R12</f>
        <v>269994686214.17191</v>
      </c>
    </row>
    <row r="13" spans="2:21">
      <c r="B13" s="56" t="s">
        <v>72</v>
      </c>
      <c r="C13" s="57"/>
      <c r="D13" s="58"/>
      <c r="E13" s="58"/>
      <c r="F13" s="58"/>
      <c r="G13" s="58"/>
      <c r="H13" s="59"/>
      <c r="I13" s="164"/>
      <c r="J13" s="164"/>
      <c r="K13" s="164"/>
      <c r="L13" s="164"/>
      <c r="M13" s="164"/>
      <c r="N13" s="164"/>
      <c r="O13" s="164"/>
      <c r="P13" s="164"/>
      <c r="Q13" s="164"/>
      <c r="R13" s="163"/>
    </row>
    <row r="14" spans="2:21">
      <c r="B14" s="46" t="s">
        <v>102</v>
      </c>
      <c r="C14" s="160">
        <v>17159</v>
      </c>
      <c r="D14" s="166">
        <v>4274</v>
      </c>
      <c r="E14" s="166">
        <v>5757</v>
      </c>
      <c r="F14" s="166">
        <v>28157</v>
      </c>
      <c r="G14" s="166">
        <v>44058</v>
      </c>
      <c r="H14" s="49">
        <v>14692315</v>
      </c>
      <c r="I14" s="169">
        <v>14270</v>
      </c>
      <c r="J14" s="169">
        <v>12927</v>
      </c>
      <c r="K14" s="166">
        <v>37042</v>
      </c>
      <c r="L14" s="166">
        <v>24404</v>
      </c>
      <c r="M14" s="51">
        <v>2.5957949999999999</v>
      </c>
      <c r="N14" s="52">
        <v>0.38710899999999998</v>
      </c>
      <c r="O14" s="51">
        <v>133.81659999999999</v>
      </c>
      <c r="P14" s="52">
        <v>6.9911000000000001E-2</v>
      </c>
      <c r="Q14" s="111">
        <v>0.19644500000000001</v>
      </c>
      <c r="R14" s="113">
        <v>219694340167.64981</v>
      </c>
    </row>
    <row r="15" spans="2:21">
      <c r="B15" s="46" t="s">
        <v>101</v>
      </c>
      <c r="C15" s="160">
        <v>16184</v>
      </c>
      <c r="D15" s="166">
        <v>4186</v>
      </c>
      <c r="E15" s="166">
        <v>5003</v>
      </c>
      <c r="F15" s="166">
        <v>24070</v>
      </c>
      <c r="G15" s="166">
        <v>36175</v>
      </c>
      <c r="H15" s="49">
        <v>11725839</v>
      </c>
      <c r="I15" s="169">
        <v>11315</v>
      </c>
      <c r="J15" s="169">
        <v>10457</v>
      </c>
      <c r="K15" s="166">
        <v>29278</v>
      </c>
      <c r="L15" s="166">
        <v>20077</v>
      </c>
      <c r="M15" s="51">
        <v>2.587539</v>
      </c>
      <c r="N15" s="52">
        <v>0.33500099999999999</v>
      </c>
      <c r="O15" s="51">
        <v>126.8771</v>
      </c>
      <c r="P15" s="52">
        <v>6.3175999999999996E-2</v>
      </c>
      <c r="Q15" s="111">
        <v>0.189669</v>
      </c>
      <c r="R15" s="113">
        <v>132108008490.99631</v>
      </c>
    </row>
    <row r="16" spans="2:21">
      <c r="B16" s="53" t="s">
        <v>100</v>
      </c>
      <c r="C16" s="160">
        <v>10961</v>
      </c>
      <c r="D16" s="166">
        <v>2426</v>
      </c>
      <c r="E16" s="166">
        <v>3972</v>
      </c>
      <c r="F16" s="166">
        <v>15444</v>
      </c>
      <c r="G16" s="166">
        <v>27097</v>
      </c>
      <c r="H16" s="49">
        <v>8827506</v>
      </c>
      <c r="I16" s="169">
        <v>8863</v>
      </c>
      <c r="J16" s="169">
        <v>8478</v>
      </c>
      <c r="K16" s="166">
        <v>22439</v>
      </c>
      <c r="L16" s="166">
        <v>16317</v>
      </c>
      <c r="M16" s="54">
        <v>2.5317609999999999</v>
      </c>
      <c r="N16" s="52">
        <v>0.35358699999999998</v>
      </c>
      <c r="O16" s="54">
        <v>128.6557</v>
      </c>
      <c r="P16" s="52">
        <v>6.2394999999999999E-2</v>
      </c>
      <c r="Q16" s="111">
        <v>0.18171899999999999</v>
      </c>
      <c r="R16" s="113">
        <v>80973361969.136551</v>
      </c>
    </row>
    <row r="17" spans="2:21" ht="15.75" thickBot="1">
      <c r="B17" s="53" t="s">
        <v>99</v>
      </c>
      <c r="C17" s="160">
        <v>8909</v>
      </c>
      <c r="D17" s="166">
        <v>2091</v>
      </c>
      <c r="E17" s="166">
        <v>2900</v>
      </c>
      <c r="F17" s="166">
        <v>10000</v>
      </c>
      <c r="G17" s="166">
        <v>16534</v>
      </c>
      <c r="H17" s="49">
        <v>5091428</v>
      </c>
      <c r="I17" s="169">
        <v>4872</v>
      </c>
      <c r="J17" s="169">
        <v>4783</v>
      </c>
      <c r="K17" s="166">
        <v>12068</v>
      </c>
      <c r="L17" s="166">
        <v>9782</v>
      </c>
      <c r="M17" s="55">
        <v>2.4770110000000001</v>
      </c>
      <c r="N17" s="52">
        <v>0.35742099999999999</v>
      </c>
      <c r="O17" s="55">
        <v>124.044</v>
      </c>
      <c r="P17" s="52">
        <v>9.6539E-2</v>
      </c>
      <c r="Q17" s="111">
        <v>0.21848500000000001</v>
      </c>
      <c r="R17" s="113">
        <v>23580909531.48</v>
      </c>
    </row>
    <row r="18" spans="2:21">
      <c r="B18" s="56" t="s">
        <v>26</v>
      </c>
      <c r="C18" s="57"/>
      <c r="D18" s="58"/>
      <c r="E18" s="58"/>
      <c r="F18" s="58"/>
      <c r="G18" s="58"/>
      <c r="H18" s="59"/>
      <c r="I18" s="58"/>
      <c r="J18" s="58"/>
      <c r="K18" s="58"/>
      <c r="L18" s="58"/>
      <c r="M18" s="58"/>
      <c r="N18" s="58"/>
      <c r="O18" s="58"/>
      <c r="P18" s="58"/>
      <c r="Q18" s="58"/>
      <c r="R18" s="59"/>
      <c r="T18" s="17"/>
      <c r="U18" s="17"/>
    </row>
    <row r="19" spans="2:21">
      <c r="B19" s="46" t="s">
        <v>102</v>
      </c>
      <c r="C19" s="160">
        <v>16520</v>
      </c>
      <c r="D19" s="166">
        <v>5278</v>
      </c>
      <c r="E19" s="166">
        <v>10164</v>
      </c>
      <c r="F19" s="166">
        <v>18396</v>
      </c>
      <c r="G19" s="166">
        <v>33680</v>
      </c>
      <c r="H19" s="49">
        <v>8629278</v>
      </c>
      <c r="I19" s="169">
        <v>17511</v>
      </c>
      <c r="J19" s="169">
        <v>9365</v>
      </c>
      <c r="K19" s="166">
        <v>61816</v>
      </c>
      <c r="L19" s="166">
        <v>14823</v>
      </c>
      <c r="M19" s="51">
        <v>3.5301239999999998</v>
      </c>
      <c r="N19" s="52">
        <v>0.44927600000000001</v>
      </c>
      <c r="O19" s="51">
        <v>37.623069999999998</v>
      </c>
      <c r="P19" s="52">
        <v>6.8739999999999999E-3</v>
      </c>
      <c r="Q19" s="111">
        <v>1.7578E-2</v>
      </c>
      <c r="R19" s="113">
        <v>120372816030.17339</v>
      </c>
    </row>
    <row r="20" spans="2:21">
      <c r="B20" s="46" t="s">
        <v>101</v>
      </c>
      <c r="C20" s="160">
        <v>14067</v>
      </c>
      <c r="D20" s="166">
        <v>5359</v>
      </c>
      <c r="E20" s="166">
        <v>6967</v>
      </c>
      <c r="F20" s="166">
        <v>14739</v>
      </c>
      <c r="G20" s="166">
        <v>25694</v>
      </c>
      <c r="H20" s="49">
        <v>7511032</v>
      </c>
      <c r="I20" s="169">
        <v>16002</v>
      </c>
      <c r="J20" s="169">
        <v>6642</v>
      </c>
      <c r="K20" s="166">
        <v>53062</v>
      </c>
      <c r="L20" s="166">
        <v>9657</v>
      </c>
      <c r="M20" s="51">
        <v>3.3159610000000002</v>
      </c>
      <c r="N20" s="52">
        <v>0.337005</v>
      </c>
      <c r="O20" s="51">
        <v>30.34055</v>
      </c>
      <c r="P20" s="52">
        <v>8.4139999999999996E-3</v>
      </c>
      <c r="Q20" s="111">
        <v>1.8835000000000001E-2</v>
      </c>
      <c r="R20" s="113">
        <v>68714238567.184151</v>
      </c>
    </row>
    <row r="21" spans="2:21">
      <c r="B21" s="53" t="s">
        <v>100</v>
      </c>
      <c r="C21" s="160">
        <v>6878</v>
      </c>
      <c r="D21" s="166">
        <v>2390</v>
      </c>
      <c r="E21" s="166">
        <v>2264</v>
      </c>
      <c r="F21" s="166">
        <v>6962</v>
      </c>
      <c r="G21" s="166">
        <v>17363</v>
      </c>
      <c r="H21" s="49">
        <v>6464070</v>
      </c>
      <c r="I21" s="169">
        <v>12986</v>
      </c>
      <c r="J21" s="169">
        <v>2951</v>
      </c>
      <c r="K21" s="166">
        <v>35135</v>
      </c>
      <c r="L21" s="166">
        <v>3378</v>
      </c>
      <c r="M21" s="54">
        <v>2.705606</v>
      </c>
      <c r="N21" s="52">
        <v>0.27976200000000001</v>
      </c>
      <c r="O21" s="54">
        <v>41.447220000000002</v>
      </c>
      <c r="P21" s="52">
        <v>1.1448E-2</v>
      </c>
      <c r="Q21" s="111">
        <v>2.2401000000000001E-2</v>
      </c>
      <c r="R21" s="113">
        <v>39646353833.707497</v>
      </c>
    </row>
    <row r="22" spans="2:21" ht="15.75" thickBot="1">
      <c r="B22" s="53" t="s">
        <v>99</v>
      </c>
      <c r="C22" s="160">
        <v>9062</v>
      </c>
      <c r="D22" s="166">
        <v>2366</v>
      </c>
      <c r="E22" s="166">
        <v>1804</v>
      </c>
      <c r="F22" s="166">
        <v>6500</v>
      </c>
      <c r="G22" s="166">
        <v>10130</v>
      </c>
      <c r="H22" s="49">
        <v>4833337</v>
      </c>
      <c r="I22" s="169">
        <v>6776</v>
      </c>
      <c r="J22" s="169">
        <v>1880</v>
      </c>
      <c r="K22" s="166">
        <v>11776</v>
      </c>
      <c r="L22" s="166">
        <v>2140</v>
      </c>
      <c r="M22" s="55">
        <v>1.7378979999999999</v>
      </c>
      <c r="N22" s="52">
        <v>0.20488600000000001</v>
      </c>
      <c r="O22" s="55">
        <v>48.918480000000002</v>
      </c>
      <c r="P22" s="52">
        <v>9.4405000000000003E-2</v>
      </c>
      <c r="Q22" s="111">
        <v>0.117038</v>
      </c>
      <c r="R22" s="113">
        <v>6501458535.1372805</v>
      </c>
    </row>
    <row r="23" spans="2:21">
      <c r="B23" s="56" t="s">
        <v>18</v>
      </c>
      <c r="C23" s="57"/>
      <c r="D23" s="58"/>
      <c r="E23" s="58"/>
      <c r="F23" s="58"/>
      <c r="G23" s="58"/>
      <c r="H23" s="59"/>
      <c r="I23" s="58"/>
      <c r="J23" s="58"/>
      <c r="K23" s="58"/>
      <c r="L23" s="58"/>
      <c r="M23" s="58"/>
      <c r="N23" s="58"/>
      <c r="O23" s="58"/>
      <c r="P23" s="58"/>
      <c r="Q23" s="58"/>
      <c r="R23" s="59"/>
    </row>
    <row r="24" spans="2:21">
      <c r="B24" s="46" t="s">
        <v>102</v>
      </c>
      <c r="C24" s="160">
        <v>9208</v>
      </c>
      <c r="D24" s="166">
        <v>1838</v>
      </c>
      <c r="E24" s="166">
        <v>2235</v>
      </c>
      <c r="F24" s="166">
        <v>14994</v>
      </c>
      <c r="G24" s="166">
        <v>35966</v>
      </c>
      <c r="H24" s="49">
        <v>6127521</v>
      </c>
      <c r="I24" s="169">
        <v>13382</v>
      </c>
      <c r="J24" s="169">
        <v>4492</v>
      </c>
      <c r="K24" s="166">
        <v>44383</v>
      </c>
      <c r="L24" s="166">
        <v>4913</v>
      </c>
      <c r="M24" s="51">
        <v>3.3166190000000002</v>
      </c>
      <c r="N24" s="52">
        <v>0.55762999999999996</v>
      </c>
      <c r="O24" s="51">
        <v>67.256559999999993</v>
      </c>
      <c r="P24" s="52">
        <v>2.0909000000000001E-2</v>
      </c>
      <c r="Q24" s="111">
        <v>3.5618999999999998E-2</v>
      </c>
      <c r="R24" s="113">
        <v>100252833804.79079</v>
      </c>
    </row>
    <row r="25" spans="2:21">
      <c r="B25" s="46" t="s">
        <v>101</v>
      </c>
      <c r="C25" s="160">
        <v>8049</v>
      </c>
      <c r="D25" s="166">
        <v>1579</v>
      </c>
      <c r="E25" s="166">
        <v>1826</v>
      </c>
      <c r="F25" s="166">
        <v>11457</v>
      </c>
      <c r="G25" s="166">
        <v>26378</v>
      </c>
      <c r="H25" s="49">
        <v>4298640</v>
      </c>
      <c r="I25" s="169">
        <v>9669</v>
      </c>
      <c r="J25" s="169">
        <v>3678</v>
      </c>
      <c r="K25" s="166">
        <v>35348</v>
      </c>
      <c r="L25" s="166">
        <v>3226</v>
      </c>
      <c r="M25" s="51">
        <v>3.6558069999999998</v>
      </c>
      <c r="N25" s="52">
        <v>0.51169600000000004</v>
      </c>
      <c r="O25" s="51">
        <v>57.778489999999998</v>
      </c>
      <c r="P25" s="52">
        <v>1.1657000000000001E-2</v>
      </c>
      <c r="Q25" s="111">
        <v>4.6892000000000003E-2</v>
      </c>
      <c r="R25" s="113">
        <v>53020532691.971458</v>
      </c>
    </row>
    <row r="26" spans="2:21">
      <c r="B26" s="53" t="s">
        <v>100</v>
      </c>
      <c r="C26" s="160">
        <v>7261</v>
      </c>
      <c r="D26" s="166">
        <v>1007</v>
      </c>
      <c r="E26" s="166">
        <v>1572</v>
      </c>
      <c r="F26" s="166">
        <v>6511</v>
      </c>
      <c r="G26" s="166">
        <v>16899</v>
      </c>
      <c r="H26" s="49">
        <v>2719680</v>
      </c>
      <c r="I26" s="169">
        <v>6295</v>
      </c>
      <c r="J26" s="169">
        <v>2743</v>
      </c>
      <c r="K26" s="166">
        <v>21630</v>
      </c>
      <c r="L26" s="166">
        <v>2882</v>
      </c>
      <c r="M26" s="54">
        <v>3.4360599999999999</v>
      </c>
      <c r="N26" s="52">
        <v>0.445411</v>
      </c>
      <c r="O26" s="54">
        <v>61.232410000000002</v>
      </c>
      <c r="P26" s="52">
        <v>1.4846E-2</v>
      </c>
      <c r="Q26" s="111">
        <v>2.7276000000000002E-2</v>
      </c>
      <c r="R26" s="113">
        <v>22217766649.732502</v>
      </c>
    </row>
    <row r="27" spans="2:21" ht="15.75" thickBot="1">
      <c r="B27" s="53" t="s">
        <v>99</v>
      </c>
      <c r="C27" s="160">
        <v>6994</v>
      </c>
      <c r="D27" s="166">
        <v>1016</v>
      </c>
      <c r="E27" s="166">
        <v>1394</v>
      </c>
      <c r="F27" s="166">
        <v>4833</v>
      </c>
      <c r="G27" s="166">
        <v>9733</v>
      </c>
      <c r="H27" s="49">
        <v>1789275</v>
      </c>
      <c r="I27" s="169">
        <v>3714</v>
      </c>
      <c r="J27" s="169">
        <v>1888</v>
      </c>
      <c r="K27" s="166">
        <v>11847</v>
      </c>
      <c r="L27" s="166">
        <v>2023</v>
      </c>
      <c r="M27" s="55">
        <v>3.1898219999999999</v>
      </c>
      <c r="N27" s="52">
        <v>0.398669</v>
      </c>
      <c r="O27" s="55">
        <v>50.844099999999997</v>
      </c>
      <c r="P27" s="52">
        <v>4.2162999999999999E-2</v>
      </c>
      <c r="Q27" s="111">
        <v>7.7116000000000004E-2</v>
      </c>
      <c r="R27" s="113">
        <v>5864480113.0872002</v>
      </c>
    </row>
    <row r="28" spans="2:21">
      <c r="B28" s="70" t="s">
        <v>27</v>
      </c>
      <c r="C28" s="57"/>
      <c r="D28" s="58"/>
      <c r="E28" s="58"/>
      <c r="F28" s="58"/>
      <c r="G28" s="58"/>
      <c r="H28" s="59"/>
      <c r="I28" s="58"/>
      <c r="J28" s="58"/>
      <c r="K28" s="58"/>
      <c r="L28" s="58"/>
      <c r="M28" s="58"/>
      <c r="N28" s="58"/>
      <c r="O28" s="58"/>
      <c r="P28" s="58"/>
      <c r="Q28" s="58"/>
      <c r="R28" s="59"/>
      <c r="T28" s="17"/>
      <c r="U28" s="17"/>
    </row>
    <row r="29" spans="2:21">
      <c r="B29" s="46" t="s">
        <v>102</v>
      </c>
      <c r="C29" s="160">
        <v>8377</v>
      </c>
      <c r="D29" s="166">
        <v>2607</v>
      </c>
      <c r="E29" s="166">
        <v>2651</v>
      </c>
      <c r="F29" s="166">
        <v>9172</v>
      </c>
      <c r="G29" s="166">
        <v>44089</v>
      </c>
      <c r="H29" s="49">
        <v>8828137</v>
      </c>
      <c r="I29" s="169">
        <v>16670</v>
      </c>
      <c r="J29" s="169">
        <v>13815</v>
      </c>
      <c r="K29" s="166">
        <v>47062</v>
      </c>
      <c r="L29" s="166">
        <v>30451</v>
      </c>
      <c r="M29" s="51">
        <v>2.8231549999999999</v>
      </c>
      <c r="N29" s="52">
        <v>0.164627</v>
      </c>
      <c r="O29" s="51">
        <v>31.557200000000002</v>
      </c>
      <c r="P29" s="52">
        <v>1.5987000000000001E-2</v>
      </c>
      <c r="Q29" s="111">
        <v>0.118312</v>
      </c>
      <c r="R29" s="113">
        <v>80196341960.653595</v>
      </c>
    </row>
    <row r="30" spans="2:21">
      <c r="B30" s="46" t="s">
        <v>101</v>
      </c>
      <c r="C30" s="160">
        <v>8249</v>
      </c>
      <c r="D30" s="166">
        <v>1525</v>
      </c>
      <c r="E30" s="166">
        <v>1600</v>
      </c>
      <c r="F30" s="166">
        <v>5776</v>
      </c>
      <c r="G30" s="166">
        <v>16282</v>
      </c>
      <c r="H30" s="49">
        <v>5143062</v>
      </c>
      <c r="I30" s="169">
        <v>9176</v>
      </c>
      <c r="J30" s="169">
        <v>5007</v>
      </c>
      <c r="K30" s="166">
        <v>25679</v>
      </c>
      <c r="L30" s="166">
        <v>9154</v>
      </c>
      <c r="M30" s="51">
        <v>2.7984960000000001</v>
      </c>
      <c r="N30" s="52">
        <v>0.30422399999999999</v>
      </c>
      <c r="O30" s="51">
        <v>51.955410000000001</v>
      </c>
      <c r="P30" s="52">
        <v>4.5761000000000003E-2</v>
      </c>
      <c r="Q30" s="111">
        <v>0.19908799999999999</v>
      </c>
      <c r="R30" s="113">
        <v>32697666151.842117</v>
      </c>
    </row>
    <row r="31" spans="2:21">
      <c r="B31" s="53" t="s">
        <v>100</v>
      </c>
      <c r="C31" s="160">
        <v>5312</v>
      </c>
      <c r="D31" s="166">
        <v>884</v>
      </c>
      <c r="E31" s="166">
        <v>543</v>
      </c>
      <c r="F31" s="166">
        <v>2123</v>
      </c>
      <c r="G31" s="166">
        <v>8957</v>
      </c>
      <c r="H31" s="49">
        <v>3205421</v>
      </c>
      <c r="I31" s="169">
        <v>6193</v>
      </c>
      <c r="J31" s="169">
        <v>774</v>
      </c>
      <c r="K31" s="166">
        <v>10737</v>
      </c>
      <c r="L31" s="166">
        <v>847</v>
      </c>
      <c r="M31" s="54">
        <v>1.7337320000000001</v>
      </c>
      <c r="N31" s="52">
        <v>0.164436</v>
      </c>
      <c r="O31" s="54">
        <v>35.520629999999997</v>
      </c>
      <c r="P31" s="52">
        <v>1.3291000000000001E-2</v>
      </c>
      <c r="Q31" s="111">
        <v>2.1464E-2</v>
      </c>
      <c r="R31" s="113">
        <v>3537536607.4774051</v>
      </c>
    </row>
    <row r="32" spans="2:21" ht="15.75" thickBot="1">
      <c r="B32" s="53" t="s">
        <v>99</v>
      </c>
      <c r="C32" s="160">
        <v>10070</v>
      </c>
      <c r="D32" s="166">
        <v>895</v>
      </c>
      <c r="E32" s="166">
        <v>515</v>
      </c>
      <c r="F32" s="166">
        <v>2179</v>
      </c>
      <c r="G32" s="166">
        <v>2576</v>
      </c>
      <c r="H32" s="49">
        <v>1150292</v>
      </c>
      <c r="I32" s="169">
        <v>1685</v>
      </c>
      <c r="J32" s="169">
        <v>618</v>
      </c>
      <c r="K32" s="166">
        <v>3729</v>
      </c>
      <c r="L32" s="166">
        <v>712</v>
      </c>
      <c r="M32" s="55">
        <v>2.2130559999999999</v>
      </c>
      <c r="N32" s="52">
        <v>0.129436</v>
      </c>
      <c r="O32" s="55">
        <v>31.377849999999999</v>
      </c>
      <c r="P32" s="52">
        <v>4.1396000000000002E-2</v>
      </c>
      <c r="Q32" s="111">
        <v>5.7762000000000001E-2</v>
      </c>
      <c r="R32" s="113">
        <v>394550984.93579996</v>
      </c>
    </row>
    <row r="33" spans="2:18">
      <c r="B33" s="70" t="s">
        <v>21</v>
      </c>
      <c r="C33" s="57"/>
      <c r="D33" s="58"/>
      <c r="E33" s="58"/>
      <c r="F33" s="58"/>
      <c r="G33" s="58"/>
      <c r="H33" s="59"/>
      <c r="I33" s="58"/>
      <c r="J33" s="58"/>
      <c r="K33" s="58"/>
      <c r="L33" s="58"/>
      <c r="M33" s="58"/>
      <c r="N33" s="58"/>
      <c r="O33" s="58"/>
      <c r="P33" s="58"/>
      <c r="Q33" s="58"/>
      <c r="R33" s="59"/>
    </row>
    <row r="34" spans="2:18">
      <c r="B34" s="46" t="s">
        <v>102</v>
      </c>
      <c r="C34" s="160">
        <v>5710</v>
      </c>
      <c r="D34" s="166">
        <v>2099</v>
      </c>
      <c r="E34" s="166">
        <v>2706</v>
      </c>
      <c r="F34" s="166">
        <v>18831</v>
      </c>
      <c r="G34" s="166">
        <v>42469</v>
      </c>
      <c r="H34" s="49">
        <v>5876426</v>
      </c>
      <c r="I34" s="169">
        <v>14887</v>
      </c>
      <c r="J34" s="169">
        <v>6946</v>
      </c>
      <c r="K34" s="166">
        <v>42621</v>
      </c>
      <c r="L34" s="166">
        <v>7252</v>
      </c>
      <c r="M34" s="51">
        <v>2.862968</v>
      </c>
      <c r="N34" s="52">
        <v>0.49333900000000003</v>
      </c>
      <c r="O34" s="51">
        <v>44.704320000000003</v>
      </c>
      <c r="P34" s="52">
        <v>3.0771E-2</v>
      </c>
      <c r="Q34" s="111">
        <v>5.9110000000000003E-2</v>
      </c>
      <c r="R34" s="113">
        <v>68312256222.980164</v>
      </c>
    </row>
    <row r="35" spans="2:18">
      <c r="B35" s="46" t="s">
        <v>101</v>
      </c>
      <c r="C35" s="160">
        <v>4105</v>
      </c>
      <c r="D35" s="166">
        <v>1555</v>
      </c>
      <c r="E35" s="166">
        <v>1801</v>
      </c>
      <c r="F35" s="166">
        <v>12116</v>
      </c>
      <c r="G35" s="166">
        <v>25480</v>
      </c>
      <c r="H35" s="49">
        <v>3419024</v>
      </c>
      <c r="I35" s="169">
        <v>9336</v>
      </c>
      <c r="J35" s="169">
        <v>5123</v>
      </c>
      <c r="K35" s="166">
        <v>25790</v>
      </c>
      <c r="L35" s="166">
        <v>6085</v>
      </c>
      <c r="M35" s="51">
        <v>2.7624249999999999</v>
      </c>
      <c r="N35" s="52">
        <v>0.47805799999999998</v>
      </c>
      <c r="O35" s="51">
        <v>38.830010000000001</v>
      </c>
      <c r="P35" s="52">
        <v>1.8939999999999999E-2</v>
      </c>
      <c r="Q35" s="111">
        <v>3.9542000000000001E-2</v>
      </c>
      <c r="R35" s="113">
        <v>23200035166.6693</v>
      </c>
    </row>
    <row r="36" spans="2:18">
      <c r="B36" s="53" t="s">
        <v>100</v>
      </c>
      <c r="C36" s="160">
        <v>4274</v>
      </c>
      <c r="D36" s="166">
        <v>1520</v>
      </c>
      <c r="E36" s="166">
        <v>1876</v>
      </c>
      <c r="F36" s="166">
        <v>8206</v>
      </c>
      <c r="G36" s="166">
        <v>16878</v>
      </c>
      <c r="H36" s="49">
        <v>3101351</v>
      </c>
      <c r="I36" s="169">
        <v>6804</v>
      </c>
      <c r="J36" s="169">
        <v>4736</v>
      </c>
      <c r="K36" s="166">
        <v>19193</v>
      </c>
      <c r="L36" s="166">
        <v>5826</v>
      </c>
      <c r="M36" s="54">
        <v>2.8208410000000002</v>
      </c>
      <c r="N36" s="52">
        <v>0.35684700000000003</v>
      </c>
      <c r="O36" s="54">
        <v>44.32085</v>
      </c>
      <c r="P36" s="52">
        <v>1.7856E-2</v>
      </c>
      <c r="Q36" s="111">
        <v>3.8857999999999997E-2</v>
      </c>
      <c r="R36" s="113">
        <v>15549458028.596975</v>
      </c>
    </row>
    <row r="37" spans="2:18" ht="16.5" customHeight="1" thickBot="1">
      <c r="B37" s="53" t="s">
        <v>99</v>
      </c>
      <c r="C37" s="160">
        <v>8061</v>
      </c>
      <c r="D37" s="166">
        <v>1847</v>
      </c>
      <c r="E37" s="166">
        <v>1997</v>
      </c>
      <c r="F37" s="166">
        <v>5679</v>
      </c>
      <c r="G37" s="166">
        <v>4749</v>
      </c>
      <c r="H37" s="49">
        <v>2257631</v>
      </c>
      <c r="I37" s="169">
        <v>2247</v>
      </c>
      <c r="J37" s="169">
        <v>1909</v>
      </c>
      <c r="K37" s="166">
        <v>4459</v>
      </c>
      <c r="L37" s="166">
        <v>2782</v>
      </c>
      <c r="M37" s="55">
        <v>1.984424</v>
      </c>
      <c r="N37" s="52">
        <v>0.28193200000000002</v>
      </c>
      <c r="O37" s="55">
        <v>121.46040000000001</v>
      </c>
      <c r="P37" s="52">
        <v>7.8062000000000006E-2</v>
      </c>
      <c r="Q37" s="111">
        <v>0.17715800000000001</v>
      </c>
      <c r="R37" s="113">
        <v>3086261576.6345997</v>
      </c>
    </row>
    <row r="38" spans="2:18">
      <c r="B38" s="70" t="s">
        <v>19</v>
      </c>
      <c r="C38" s="57"/>
      <c r="D38" s="58"/>
      <c r="E38" s="58"/>
      <c r="F38" s="58"/>
      <c r="G38" s="58"/>
      <c r="H38" s="59"/>
      <c r="I38" s="58"/>
      <c r="J38" s="58"/>
      <c r="K38" s="58"/>
      <c r="L38" s="58"/>
      <c r="M38" s="58"/>
      <c r="N38" s="58"/>
      <c r="O38" s="58"/>
      <c r="P38" s="58"/>
      <c r="Q38" s="58"/>
      <c r="R38" s="59"/>
    </row>
    <row r="39" spans="2:18">
      <c r="B39" s="46" t="s">
        <v>102</v>
      </c>
      <c r="C39" s="160">
        <v>2368</v>
      </c>
      <c r="D39" s="166">
        <v>811</v>
      </c>
      <c r="E39" s="166">
        <v>689</v>
      </c>
      <c r="F39" s="166">
        <v>5459</v>
      </c>
      <c r="G39" s="166">
        <v>33431</v>
      </c>
      <c r="H39" s="49">
        <v>3286488</v>
      </c>
      <c r="I39" s="169">
        <v>10854</v>
      </c>
      <c r="J39" s="169">
        <v>1771</v>
      </c>
      <c r="K39" s="166">
        <v>32072</v>
      </c>
      <c r="L39" s="166">
        <v>1449</v>
      </c>
      <c r="M39" s="51">
        <v>2.9548549999999998</v>
      </c>
      <c r="N39" s="52">
        <v>0.47952299999999998</v>
      </c>
      <c r="O39" s="51">
        <v>30.198899999999998</v>
      </c>
      <c r="P39" s="52">
        <v>2.1724E-2</v>
      </c>
      <c r="Q39" s="111">
        <v>4.249E-2</v>
      </c>
      <c r="R39" s="113">
        <v>22347103134.218399</v>
      </c>
    </row>
    <row r="40" spans="2:18">
      <c r="B40" s="46" t="s">
        <v>101</v>
      </c>
      <c r="C40" s="160">
        <v>2358</v>
      </c>
      <c r="D40" s="166">
        <v>796</v>
      </c>
      <c r="E40" s="166">
        <v>485</v>
      </c>
      <c r="F40" s="166">
        <v>3657</v>
      </c>
      <c r="G40" s="166">
        <v>12224</v>
      </c>
      <c r="H40" s="49">
        <v>2102237</v>
      </c>
      <c r="I40" s="169">
        <v>4345</v>
      </c>
      <c r="J40" s="169">
        <v>867</v>
      </c>
      <c r="K40" s="166">
        <v>11725</v>
      </c>
      <c r="L40" s="166">
        <v>819</v>
      </c>
      <c r="M40" s="51">
        <v>2.6985039999999998</v>
      </c>
      <c r="N40" s="52">
        <v>0.29897499999999999</v>
      </c>
      <c r="O40" s="51">
        <v>32.47531</v>
      </c>
      <c r="P40" s="52">
        <v>1.4930000000000001E-2</v>
      </c>
      <c r="Q40" s="111">
        <v>4.1418999999999997E-2</v>
      </c>
      <c r="R40" s="113">
        <v>3380502780.5605001</v>
      </c>
    </row>
    <row r="41" spans="2:18" ht="16.5" customHeight="1">
      <c r="B41" s="53" t="s">
        <v>100</v>
      </c>
      <c r="C41" s="160">
        <v>3312</v>
      </c>
      <c r="D41" s="166">
        <v>587</v>
      </c>
      <c r="E41" s="166">
        <v>228</v>
      </c>
      <c r="F41" s="166">
        <v>2464</v>
      </c>
      <c r="G41" s="166">
        <v>4961</v>
      </c>
      <c r="H41" s="49">
        <v>1705890</v>
      </c>
      <c r="I41" s="169">
        <v>2786</v>
      </c>
      <c r="J41" s="169">
        <v>391</v>
      </c>
      <c r="K41" s="166">
        <v>7983</v>
      </c>
      <c r="L41" s="166">
        <v>357</v>
      </c>
      <c r="M41" s="54">
        <v>2.8653979999999999</v>
      </c>
      <c r="N41" s="52">
        <v>0.207895</v>
      </c>
      <c r="O41" s="54">
        <v>40.400350000000003</v>
      </c>
      <c r="P41" s="52">
        <v>3.3050000000000002E-3</v>
      </c>
      <c r="Q41" s="111">
        <v>1.0283E-2</v>
      </c>
      <c r="R41" s="113">
        <v>1857208351.7369251</v>
      </c>
    </row>
    <row r="42" spans="2:18" ht="15.75" thickBot="1">
      <c r="B42" s="53" t="s">
        <v>99</v>
      </c>
      <c r="C42" s="160">
        <v>2760</v>
      </c>
      <c r="D42" s="166">
        <v>532</v>
      </c>
      <c r="E42" s="166">
        <v>255</v>
      </c>
      <c r="F42" s="166">
        <v>1949</v>
      </c>
      <c r="G42" s="166">
        <v>1858</v>
      </c>
      <c r="H42" s="49">
        <v>1333994</v>
      </c>
      <c r="I42" s="169">
        <v>1215</v>
      </c>
      <c r="J42" s="169">
        <v>313</v>
      </c>
      <c r="K42" s="166">
        <v>3141</v>
      </c>
      <c r="L42" s="166">
        <v>343</v>
      </c>
      <c r="M42" s="55">
        <v>2.5851850000000001</v>
      </c>
      <c r="N42" s="52">
        <v>0.165576</v>
      </c>
      <c r="O42" s="55">
        <v>66.089780000000005</v>
      </c>
      <c r="P42" s="52">
        <v>4.3819999999999996E-3</v>
      </c>
      <c r="Q42" s="111">
        <v>1.1894E-2</v>
      </c>
      <c r="R42" s="113">
        <v>520215525.44388002</v>
      </c>
    </row>
    <row r="43" spans="2:18">
      <c r="B43" s="70" t="s">
        <v>20</v>
      </c>
      <c r="C43" s="57"/>
      <c r="D43" s="58"/>
      <c r="E43" s="58"/>
      <c r="F43" s="58"/>
      <c r="G43" s="58"/>
      <c r="H43" s="59"/>
      <c r="I43" s="58"/>
      <c r="J43" s="58"/>
      <c r="K43" s="58"/>
      <c r="L43" s="58"/>
      <c r="M43" s="58"/>
      <c r="N43" s="58"/>
      <c r="O43" s="58"/>
      <c r="P43" s="58"/>
      <c r="Q43" s="58"/>
      <c r="R43" s="59"/>
    </row>
    <row r="44" spans="2:18">
      <c r="B44" s="46" t="s">
        <v>102</v>
      </c>
      <c r="C44" s="160">
        <v>6482</v>
      </c>
      <c r="D44" s="166">
        <v>1881</v>
      </c>
      <c r="E44" s="166">
        <v>3136</v>
      </c>
      <c r="F44" s="166">
        <v>11084</v>
      </c>
      <c r="G44" s="166">
        <v>20831</v>
      </c>
      <c r="H44" s="49">
        <v>3154226</v>
      </c>
      <c r="I44" s="169">
        <v>6741</v>
      </c>
      <c r="J44" s="169">
        <v>3802</v>
      </c>
      <c r="K44" s="166">
        <v>19662</v>
      </c>
      <c r="L44" s="166">
        <v>5489</v>
      </c>
      <c r="M44" s="51">
        <v>2.9167779999999999</v>
      </c>
      <c r="N44" s="52">
        <v>0.38945099999999999</v>
      </c>
      <c r="O44" s="51">
        <v>39.470860000000002</v>
      </c>
      <c r="P44" s="52">
        <v>2.2981999999999999E-2</v>
      </c>
      <c r="Q44" s="111">
        <v>4.6834000000000001E-2</v>
      </c>
      <c r="R44" s="113">
        <v>13850629252.214041</v>
      </c>
    </row>
    <row r="45" spans="2:18">
      <c r="B45" s="46" t="s">
        <v>101</v>
      </c>
      <c r="C45" s="160">
        <v>8163</v>
      </c>
      <c r="D45" s="166">
        <v>2355</v>
      </c>
      <c r="E45" s="166">
        <v>3949</v>
      </c>
      <c r="F45" s="166">
        <v>8463</v>
      </c>
      <c r="G45" s="166">
        <v>12857</v>
      </c>
      <c r="H45" s="49">
        <v>2564201</v>
      </c>
      <c r="I45" s="169">
        <v>4013</v>
      </c>
      <c r="J45" s="169">
        <v>2181</v>
      </c>
      <c r="K45" s="166">
        <v>11792</v>
      </c>
      <c r="L45" s="166">
        <v>4408</v>
      </c>
      <c r="M45" s="51">
        <v>2.93845</v>
      </c>
      <c r="N45" s="52">
        <v>0.318214</v>
      </c>
      <c r="O45" s="51">
        <v>60.949120000000001</v>
      </c>
      <c r="P45" s="52">
        <v>2.4528999999999999E-2</v>
      </c>
      <c r="Q45" s="111">
        <v>9.6024999999999999E-2</v>
      </c>
      <c r="R45" s="113">
        <v>8047418521.9788799</v>
      </c>
    </row>
    <row r="46" spans="2:18">
      <c r="B46" s="53" t="s">
        <v>100</v>
      </c>
      <c r="C46" s="160">
        <v>7705</v>
      </c>
      <c r="D46" s="166">
        <v>2021</v>
      </c>
      <c r="E46" s="166">
        <v>3889</v>
      </c>
      <c r="F46" s="166">
        <v>8885</v>
      </c>
      <c r="G46" s="166">
        <v>18830</v>
      </c>
      <c r="H46" s="49">
        <v>2119597</v>
      </c>
      <c r="I46" s="169">
        <v>6200</v>
      </c>
      <c r="J46" s="169">
        <v>3456</v>
      </c>
      <c r="K46" s="166">
        <v>17686</v>
      </c>
      <c r="L46" s="166">
        <v>5967</v>
      </c>
      <c r="M46" s="54">
        <v>2.8525809999999998</v>
      </c>
      <c r="N46" s="52">
        <v>0.40116499999999999</v>
      </c>
      <c r="O46" s="54">
        <v>36.674709999999997</v>
      </c>
      <c r="P46" s="52">
        <v>2.955E-2</v>
      </c>
      <c r="Q46" s="111">
        <v>4.5808000000000001E-2</v>
      </c>
      <c r="R46" s="113">
        <v>10802590365.79377</v>
      </c>
    </row>
    <row r="47" spans="2:18" ht="15.75" thickBot="1">
      <c r="B47" s="53" t="s">
        <v>99</v>
      </c>
      <c r="C47" s="160">
        <v>7767</v>
      </c>
      <c r="D47" s="166">
        <v>1298</v>
      </c>
      <c r="E47" s="166">
        <v>1868</v>
      </c>
      <c r="F47" s="166">
        <v>4324</v>
      </c>
      <c r="G47" s="166">
        <v>5135</v>
      </c>
      <c r="H47" s="49">
        <v>1139909</v>
      </c>
      <c r="I47" s="169">
        <v>2126</v>
      </c>
      <c r="J47" s="169">
        <v>1414</v>
      </c>
      <c r="K47" s="166">
        <v>5022</v>
      </c>
      <c r="L47" s="166">
        <v>2346</v>
      </c>
      <c r="M47" s="55">
        <v>2.3621829999999999</v>
      </c>
      <c r="N47" s="52">
        <v>0.25479400000000002</v>
      </c>
      <c r="O47" s="55">
        <v>54.316609999999997</v>
      </c>
      <c r="P47" s="52">
        <v>4.0344999999999999E-2</v>
      </c>
      <c r="Q47" s="111">
        <v>7.6034000000000004E-2</v>
      </c>
      <c r="R47" s="113">
        <v>1487731296.1006801</v>
      </c>
    </row>
    <row r="48" spans="2:18">
      <c r="B48" s="70" t="s">
        <v>22</v>
      </c>
      <c r="C48" s="57"/>
      <c r="D48" s="58"/>
      <c r="E48" s="58"/>
      <c r="F48" s="58"/>
      <c r="G48" s="58"/>
      <c r="H48" s="59"/>
      <c r="I48" s="58"/>
      <c r="J48" s="58"/>
      <c r="K48" s="58"/>
      <c r="L48" s="58"/>
      <c r="M48" s="58"/>
      <c r="N48" s="58"/>
      <c r="O48" s="58"/>
      <c r="P48" s="58"/>
      <c r="Q48" s="58"/>
      <c r="R48" s="59"/>
    </row>
    <row r="49" spans="2:18">
      <c r="B49" s="46" t="s">
        <v>102</v>
      </c>
      <c r="C49" s="160">
        <v>3723</v>
      </c>
      <c r="D49" s="166">
        <v>590</v>
      </c>
      <c r="E49" s="166">
        <v>1333</v>
      </c>
      <c r="F49" s="166">
        <v>2224</v>
      </c>
      <c r="G49" s="166">
        <v>9153</v>
      </c>
      <c r="H49" s="49">
        <v>3331256</v>
      </c>
      <c r="I49" s="169">
        <v>3953</v>
      </c>
      <c r="J49" s="169">
        <v>1878</v>
      </c>
      <c r="K49" s="166">
        <v>12977</v>
      </c>
      <c r="L49" s="166">
        <v>2850</v>
      </c>
      <c r="M49" s="51">
        <v>3.282823</v>
      </c>
      <c r="N49" s="52">
        <v>0.27491500000000002</v>
      </c>
      <c r="O49" s="51">
        <v>92.109579999999994</v>
      </c>
      <c r="P49" s="52">
        <v>1.8672999999999999E-2</v>
      </c>
      <c r="Q49" s="111">
        <v>4.4844000000000002E-2</v>
      </c>
      <c r="R49" s="113">
        <v>12943968886.89814</v>
      </c>
    </row>
    <row r="50" spans="2:18">
      <c r="B50" s="46" t="s">
        <v>101</v>
      </c>
      <c r="C50" s="160">
        <v>4788</v>
      </c>
      <c r="D50" s="166">
        <v>568</v>
      </c>
      <c r="E50" s="166">
        <v>1306</v>
      </c>
      <c r="F50" s="166">
        <v>2235</v>
      </c>
      <c r="G50" s="166">
        <v>14171</v>
      </c>
      <c r="H50" s="49">
        <v>2560735</v>
      </c>
      <c r="I50" s="169">
        <v>4934</v>
      </c>
      <c r="J50" s="169">
        <v>1663</v>
      </c>
      <c r="K50" s="166">
        <v>17095</v>
      </c>
      <c r="L50" s="166">
        <v>2233</v>
      </c>
      <c r="M50" s="51">
        <v>3.464734</v>
      </c>
      <c r="N50" s="52">
        <v>0.28150900000000001</v>
      </c>
      <c r="O50" s="51">
        <v>49.291370000000001</v>
      </c>
      <c r="P50" s="52">
        <v>3.5397999999999999E-2</v>
      </c>
      <c r="Q50" s="111">
        <v>5.8397999999999999E-2</v>
      </c>
      <c r="R50" s="113">
        <v>10922668763.069376</v>
      </c>
    </row>
    <row r="51" spans="2:18">
      <c r="B51" s="53" t="s">
        <v>100</v>
      </c>
      <c r="C51" s="160">
        <v>5165</v>
      </c>
      <c r="D51" s="166">
        <v>961</v>
      </c>
      <c r="E51" s="166">
        <v>1154</v>
      </c>
      <c r="F51" s="166">
        <v>2618</v>
      </c>
      <c r="G51" s="166">
        <v>9169</v>
      </c>
      <c r="H51" s="49">
        <v>3333908</v>
      </c>
      <c r="I51" s="169">
        <v>3759</v>
      </c>
      <c r="J51" s="169">
        <v>1381</v>
      </c>
      <c r="K51" s="166">
        <v>11631</v>
      </c>
      <c r="L51" s="166">
        <v>1889</v>
      </c>
      <c r="M51" s="51">
        <v>3.0941740000000002</v>
      </c>
      <c r="N51" s="52">
        <v>0.16303100000000001</v>
      </c>
      <c r="O51" s="51">
        <v>80.863900000000001</v>
      </c>
      <c r="P51" s="52">
        <v>5.2019000000000003E-2</v>
      </c>
      <c r="Q51" s="111">
        <v>8.4291000000000005E-2</v>
      </c>
      <c r="R51" s="113">
        <v>8775126434.9969997</v>
      </c>
    </row>
    <row r="52" spans="2:18" ht="15.75" thickBot="1">
      <c r="B52" s="53" t="s">
        <v>99</v>
      </c>
      <c r="C52" s="160">
        <v>9092</v>
      </c>
      <c r="D52" s="166">
        <v>1014</v>
      </c>
      <c r="E52" s="166">
        <v>811</v>
      </c>
      <c r="F52" s="166">
        <v>2437</v>
      </c>
      <c r="G52" s="166">
        <v>1560</v>
      </c>
      <c r="H52" s="49">
        <v>2097716</v>
      </c>
      <c r="I52" s="169">
        <v>644</v>
      </c>
      <c r="J52" s="169">
        <v>544</v>
      </c>
      <c r="K52" s="166">
        <v>1373</v>
      </c>
      <c r="L52" s="166">
        <v>751</v>
      </c>
      <c r="M52" s="54">
        <v>2.1319880000000002</v>
      </c>
      <c r="N52" s="52">
        <v>8.2585000000000006E-2</v>
      </c>
      <c r="O52" s="54">
        <v>307.45589999999999</v>
      </c>
      <c r="P52" s="52">
        <v>0.13030800000000001</v>
      </c>
      <c r="Q52" s="111">
        <v>0.21607000000000001</v>
      </c>
      <c r="R52" s="113">
        <v>699058790.3592</v>
      </c>
    </row>
    <row r="53" spans="2:18">
      <c r="B53" s="70" t="s">
        <v>25</v>
      </c>
      <c r="C53" s="57"/>
      <c r="D53" s="58"/>
      <c r="E53" s="58"/>
      <c r="F53" s="58"/>
      <c r="G53" s="58"/>
      <c r="H53" s="59"/>
      <c r="I53" s="58"/>
      <c r="J53" s="58"/>
      <c r="K53" s="58"/>
      <c r="L53" s="58"/>
      <c r="M53" s="58"/>
      <c r="N53" s="58"/>
      <c r="O53" s="58"/>
      <c r="P53" s="58"/>
      <c r="Q53" s="58"/>
      <c r="R53" s="59"/>
    </row>
    <row r="54" spans="2:18">
      <c r="B54" s="46" t="s">
        <v>102</v>
      </c>
      <c r="C54" s="160">
        <v>4090</v>
      </c>
      <c r="D54" s="166">
        <v>278</v>
      </c>
      <c r="E54" s="166">
        <v>24</v>
      </c>
      <c r="F54" s="166">
        <v>806</v>
      </c>
      <c r="G54" s="166">
        <v>51</v>
      </c>
      <c r="H54" s="49">
        <v>1645313</v>
      </c>
      <c r="I54" s="169">
        <v>29</v>
      </c>
      <c r="J54" s="169">
        <v>28</v>
      </c>
      <c r="K54" s="166">
        <v>36</v>
      </c>
      <c r="L54" s="166">
        <v>27</v>
      </c>
      <c r="M54" s="51">
        <v>1.241379</v>
      </c>
      <c r="N54" s="52">
        <v>2.8798000000000001E-2</v>
      </c>
      <c r="O54" s="51">
        <v>561.61109999999996</v>
      </c>
      <c r="P54" s="52">
        <v>0.125</v>
      </c>
      <c r="Q54" s="111">
        <v>0.265625</v>
      </c>
      <c r="R54" s="113">
        <v>1213079.976</v>
      </c>
    </row>
    <row r="55" spans="2:18">
      <c r="B55" s="46" t="s">
        <v>101</v>
      </c>
      <c r="C55" s="160">
        <v>5876</v>
      </c>
      <c r="D55" s="166">
        <v>305</v>
      </c>
      <c r="E55" s="166">
        <v>55</v>
      </c>
      <c r="F55" s="166">
        <v>953</v>
      </c>
      <c r="G55" s="166">
        <v>127</v>
      </c>
      <c r="H55" s="49">
        <v>2110075</v>
      </c>
      <c r="I55" s="169">
        <v>70</v>
      </c>
      <c r="J55" s="169">
        <v>63</v>
      </c>
      <c r="K55" s="166">
        <v>98</v>
      </c>
      <c r="L55" s="166">
        <v>73</v>
      </c>
      <c r="M55" s="51">
        <v>1.4</v>
      </c>
      <c r="N55" s="52">
        <v>3.0513999999999999E-2</v>
      </c>
      <c r="O55" s="54">
        <v>534.57140000000004</v>
      </c>
      <c r="P55" s="52">
        <v>0.113924</v>
      </c>
      <c r="Q55" s="111">
        <v>0.18987299999999999</v>
      </c>
      <c r="R55" s="113">
        <v>7962975.5744000012</v>
      </c>
    </row>
    <row r="56" spans="2:18">
      <c r="B56" s="53" t="s">
        <v>100</v>
      </c>
      <c r="C56" s="160">
        <v>6579</v>
      </c>
      <c r="D56" s="166">
        <v>844</v>
      </c>
      <c r="E56" s="166">
        <v>517</v>
      </c>
      <c r="F56" s="166">
        <v>2319</v>
      </c>
      <c r="G56" s="166">
        <v>1049</v>
      </c>
      <c r="H56" s="49">
        <v>3020904</v>
      </c>
      <c r="I56" s="169">
        <v>616</v>
      </c>
      <c r="J56" s="169">
        <v>421</v>
      </c>
      <c r="K56" s="166">
        <v>1273</v>
      </c>
      <c r="L56" s="166">
        <v>574</v>
      </c>
      <c r="M56" s="51">
        <v>2.0665580000000001</v>
      </c>
      <c r="N56" s="52">
        <v>0.14213200000000001</v>
      </c>
      <c r="O56" s="51">
        <v>179.0196</v>
      </c>
      <c r="P56" s="52">
        <v>8.0023999999999998E-2</v>
      </c>
      <c r="Q56" s="111">
        <v>0.13159499999999999</v>
      </c>
      <c r="R56" s="113">
        <v>328620193.05360001</v>
      </c>
    </row>
    <row r="57" spans="2:18" ht="15.75" thickBot="1">
      <c r="B57" s="53" t="s">
        <v>99</v>
      </c>
      <c r="C57" s="160">
        <v>4650</v>
      </c>
      <c r="D57" s="166">
        <v>538</v>
      </c>
      <c r="E57" s="166">
        <v>216</v>
      </c>
      <c r="F57" s="166">
        <v>1616</v>
      </c>
      <c r="G57" s="166">
        <v>444</v>
      </c>
      <c r="H57" s="49">
        <v>1748706</v>
      </c>
      <c r="I57" s="169">
        <v>248</v>
      </c>
      <c r="J57" s="169">
        <v>161</v>
      </c>
      <c r="K57" s="166">
        <v>436</v>
      </c>
      <c r="L57" s="166">
        <v>200</v>
      </c>
      <c r="M57" s="54">
        <v>1.758065</v>
      </c>
      <c r="N57" s="52">
        <v>9.9918999999999994E-2</v>
      </c>
      <c r="O57" s="54">
        <v>238.54820000000001</v>
      </c>
      <c r="P57" s="52">
        <v>7.0370000000000002E-2</v>
      </c>
      <c r="Q57" s="111">
        <v>0.109259</v>
      </c>
      <c r="R57" s="113">
        <v>54343665.442000002</v>
      </c>
    </row>
    <row r="58" spans="2:18">
      <c r="B58" s="70" t="s">
        <v>23</v>
      </c>
      <c r="C58" s="57"/>
      <c r="D58" s="58"/>
      <c r="E58" s="58"/>
      <c r="F58" s="58"/>
      <c r="G58" s="58"/>
      <c r="H58" s="59"/>
      <c r="I58" s="58"/>
      <c r="J58" s="58"/>
      <c r="K58" s="58"/>
      <c r="L58" s="58"/>
      <c r="M58" s="58"/>
      <c r="N58" s="58"/>
      <c r="O58" s="58"/>
      <c r="P58" s="58"/>
      <c r="Q58" s="58"/>
      <c r="R58" s="114"/>
    </row>
    <row r="59" spans="2:18">
      <c r="B59" s="46" t="s">
        <v>102</v>
      </c>
      <c r="C59" s="160">
        <v>365</v>
      </c>
      <c r="D59" s="166">
        <v>215</v>
      </c>
      <c r="E59" s="166">
        <v>54</v>
      </c>
      <c r="F59" s="166">
        <v>1084</v>
      </c>
      <c r="G59" s="166">
        <v>227</v>
      </c>
      <c r="H59" s="49">
        <v>371297</v>
      </c>
      <c r="I59" s="169">
        <v>166</v>
      </c>
      <c r="J59" s="169">
        <v>72</v>
      </c>
      <c r="K59" s="166">
        <v>210</v>
      </c>
      <c r="L59" s="166">
        <v>72</v>
      </c>
      <c r="M59" s="51">
        <v>1.2650600000000001</v>
      </c>
      <c r="N59" s="52">
        <v>3.6283999999999997E-2</v>
      </c>
      <c r="O59" s="51">
        <v>18.733329999999999</v>
      </c>
      <c r="P59" s="52">
        <v>6.3909999999999995E-2</v>
      </c>
      <c r="Q59" s="111">
        <v>0.12030100000000001</v>
      </c>
      <c r="R59" s="113">
        <v>1022839.818</v>
      </c>
    </row>
    <row r="60" spans="2:18">
      <c r="B60" s="46" t="s">
        <v>101</v>
      </c>
      <c r="C60" s="160">
        <v>603</v>
      </c>
      <c r="D60" s="166">
        <v>321</v>
      </c>
      <c r="E60" s="166">
        <v>113</v>
      </c>
      <c r="F60" s="166">
        <v>1495</v>
      </c>
      <c r="G60" s="166">
        <v>416</v>
      </c>
      <c r="H60" s="49">
        <v>522067</v>
      </c>
      <c r="I60" s="169">
        <v>424</v>
      </c>
      <c r="J60" s="169">
        <v>190</v>
      </c>
      <c r="K60" s="166">
        <v>756</v>
      </c>
      <c r="L60" s="166">
        <v>193</v>
      </c>
      <c r="M60" s="51">
        <v>1.7830189999999999</v>
      </c>
      <c r="N60" s="52">
        <v>5.6737999999999997E-2</v>
      </c>
      <c r="O60" s="51">
        <v>12.044969999999999</v>
      </c>
      <c r="P60" s="52">
        <v>1.5719E-2</v>
      </c>
      <c r="Q60" s="111">
        <v>5.1995E-2</v>
      </c>
      <c r="R60" s="113">
        <v>7116336.9055799991</v>
      </c>
    </row>
    <row r="61" spans="2:18">
      <c r="B61" s="53" t="s">
        <v>100</v>
      </c>
      <c r="C61" s="160">
        <v>2733</v>
      </c>
      <c r="D61" s="166">
        <v>877</v>
      </c>
      <c r="E61" s="166">
        <v>506</v>
      </c>
      <c r="F61" s="166">
        <v>3580</v>
      </c>
      <c r="G61" s="166">
        <v>7981</v>
      </c>
      <c r="H61" s="49">
        <v>1503185</v>
      </c>
      <c r="I61" s="169">
        <v>3282</v>
      </c>
      <c r="J61" s="169">
        <v>792</v>
      </c>
      <c r="K61" s="166">
        <v>8755</v>
      </c>
      <c r="L61" s="166">
        <v>722</v>
      </c>
      <c r="M61" s="51">
        <v>2.6675810000000002</v>
      </c>
      <c r="N61" s="52">
        <v>0.16786000000000001</v>
      </c>
      <c r="O61" s="51">
        <v>23.48132</v>
      </c>
      <c r="P61" s="52">
        <v>1.6546000000000002E-2</v>
      </c>
      <c r="Q61" s="111">
        <v>2.9739000000000002E-2</v>
      </c>
      <c r="R61" s="113">
        <v>1392900220.4433</v>
      </c>
    </row>
    <row r="62" spans="2:18" ht="15.75" thickBot="1">
      <c r="B62" s="53" t="s">
        <v>99</v>
      </c>
      <c r="C62" s="160">
        <v>5288</v>
      </c>
      <c r="D62" s="166">
        <v>765</v>
      </c>
      <c r="E62" s="166">
        <v>748</v>
      </c>
      <c r="F62" s="166">
        <v>2758</v>
      </c>
      <c r="G62" s="166">
        <v>3471</v>
      </c>
      <c r="H62" s="49">
        <v>635393</v>
      </c>
      <c r="I62" s="169">
        <v>1520</v>
      </c>
      <c r="J62" s="169">
        <v>675</v>
      </c>
      <c r="K62" s="166">
        <v>3563</v>
      </c>
      <c r="L62" s="166">
        <v>834</v>
      </c>
      <c r="M62" s="54">
        <v>2.3440789999999998</v>
      </c>
      <c r="N62" s="52">
        <v>0.15302499999999999</v>
      </c>
      <c r="O62" s="54">
        <v>18.522310000000001</v>
      </c>
      <c r="P62" s="52">
        <v>3.5811000000000003E-2</v>
      </c>
      <c r="Q62" s="111">
        <v>6.2978999999999993E-2</v>
      </c>
      <c r="R62" s="113">
        <v>217519488.78688005</v>
      </c>
    </row>
    <row r="63" spans="2:18">
      <c r="B63" s="70" t="s">
        <v>24</v>
      </c>
      <c r="C63" s="57"/>
      <c r="D63" s="58"/>
      <c r="E63" s="58"/>
      <c r="F63" s="58"/>
      <c r="G63" s="58"/>
      <c r="H63" s="59"/>
      <c r="I63" s="58"/>
      <c r="J63" s="58"/>
      <c r="K63" s="58"/>
      <c r="L63" s="58"/>
      <c r="M63" s="58"/>
      <c r="N63" s="58"/>
      <c r="O63" s="58"/>
      <c r="P63" s="58"/>
      <c r="Q63" s="58"/>
      <c r="R63" s="59"/>
    </row>
    <row r="64" spans="2:18">
      <c r="B64" s="46" t="s">
        <v>102</v>
      </c>
      <c r="C64" s="160">
        <v>529</v>
      </c>
      <c r="D64" s="166">
        <v>161</v>
      </c>
      <c r="E64" s="166">
        <v>28</v>
      </c>
      <c r="F64" s="166">
        <v>662</v>
      </c>
      <c r="G64" s="166">
        <v>37</v>
      </c>
      <c r="H64" s="49">
        <v>734032</v>
      </c>
      <c r="I64" s="169">
        <v>29</v>
      </c>
      <c r="J64" s="169">
        <v>25</v>
      </c>
      <c r="K64" s="166">
        <v>37</v>
      </c>
      <c r="L64" s="166">
        <v>26</v>
      </c>
      <c r="M64" s="51">
        <v>1.2758620000000001</v>
      </c>
      <c r="N64" s="52">
        <v>7.3660000000000002E-3</v>
      </c>
      <c r="O64" s="51">
        <v>152.67570000000001</v>
      </c>
      <c r="P64" s="52">
        <v>0.109375</v>
      </c>
      <c r="Q64" s="111">
        <v>0.203125</v>
      </c>
      <c r="R64" s="113">
        <v>330466.55265000003</v>
      </c>
    </row>
    <row r="65" spans="2:21">
      <c r="B65" s="46" t="s">
        <v>101</v>
      </c>
      <c r="C65" s="160">
        <v>1973</v>
      </c>
      <c r="D65" s="166">
        <v>368</v>
      </c>
      <c r="E65" s="166">
        <v>313</v>
      </c>
      <c r="F65" s="166">
        <v>1660</v>
      </c>
      <c r="G65" s="166">
        <v>3984</v>
      </c>
      <c r="H65" s="49">
        <v>1750438</v>
      </c>
      <c r="I65" s="169">
        <v>1977</v>
      </c>
      <c r="J65" s="169">
        <v>305</v>
      </c>
      <c r="K65" s="166">
        <v>5733</v>
      </c>
      <c r="L65" s="166">
        <v>375</v>
      </c>
      <c r="M65" s="51">
        <v>2.899848</v>
      </c>
      <c r="N65" s="52">
        <v>0.201652</v>
      </c>
      <c r="O65" s="51">
        <v>56.288849999999996</v>
      </c>
      <c r="P65" s="52">
        <v>1.5779999999999999E-2</v>
      </c>
      <c r="Q65" s="111">
        <v>1.9640999999999999E-2</v>
      </c>
      <c r="R65" s="113">
        <v>1353743183.72475</v>
      </c>
    </row>
    <row r="66" spans="2:21">
      <c r="B66" s="53" t="s">
        <v>100</v>
      </c>
      <c r="C66" s="160">
        <v>3127</v>
      </c>
      <c r="D66" s="166">
        <v>455</v>
      </c>
      <c r="E66" s="166">
        <v>1210</v>
      </c>
      <c r="F66" s="166">
        <v>2412</v>
      </c>
      <c r="G66" s="166">
        <v>3264</v>
      </c>
      <c r="H66" s="49">
        <v>1448274</v>
      </c>
      <c r="I66" s="169">
        <v>2138</v>
      </c>
      <c r="J66" s="169">
        <v>413</v>
      </c>
      <c r="K66" s="166">
        <v>6590</v>
      </c>
      <c r="L66" s="166">
        <v>580</v>
      </c>
      <c r="M66" s="51">
        <v>3.0823200000000002</v>
      </c>
      <c r="N66" s="52">
        <v>0.228126</v>
      </c>
      <c r="O66" s="51">
        <v>40.174509999999998</v>
      </c>
      <c r="P66" s="52">
        <v>2.2366E-2</v>
      </c>
      <c r="Q66" s="111">
        <v>3.0824000000000001E-2</v>
      </c>
      <c r="R66" s="113">
        <v>1286817476.58445</v>
      </c>
    </row>
    <row r="67" spans="2:21" ht="15.75" thickBot="1">
      <c r="B67" s="91" t="s">
        <v>99</v>
      </c>
      <c r="C67" s="161">
        <v>3698</v>
      </c>
      <c r="D67" s="171">
        <v>404</v>
      </c>
      <c r="E67" s="171">
        <v>600</v>
      </c>
      <c r="F67" s="171">
        <v>1404</v>
      </c>
      <c r="G67" s="171">
        <v>747</v>
      </c>
      <c r="H67" s="92">
        <v>873086</v>
      </c>
      <c r="I67" s="170">
        <v>554</v>
      </c>
      <c r="J67" s="170">
        <v>273</v>
      </c>
      <c r="K67" s="171">
        <v>1173</v>
      </c>
      <c r="L67" s="171">
        <v>363</v>
      </c>
      <c r="M67" s="55">
        <v>2.1173289999999998</v>
      </c>
      <c r="N67" s="93">
        <v>0.101206</v>
      </c>
      <c r="O67" s="55">
        <v>50.399830000000001</v>
      </c>
      <c r="P67" s="93">
        <v>2.1978000000000001E-2</v>
      </c>
      <c r="Q67" s="112">
        <v>5.3374999999999999E-2</v>
      </c>
      <c r="R67" s="115">
        <v>69849099.197085008</v>
      </c>
    </row>
    <row r="69" spans="2:21">
      <c r="B69" s="187" t="s">
        <v>28</v>
      </c>
      <c r="C69" s="188"/>
      <c r="D69" s="189" t="s">
        <v>29</v>
      </c>
      <c r="E69" s="190"/>
      <c r="F69" s="190"/>
      <c r="G69" s="191"/>
      <c r="H69" s="18"/>
      <c r="I69" s="18"/>
      <c r="J69" s="18"/>
    </row>
    <row r="70" spans="2:21">
      <c r="B70" s="187" t="s">
        <v>30</v>
      </c>
      <c r="C70" s="188"/>
      <c r="D70" s="189" t="s">
        <v>31</v>
      </c>
      <c r="E70" s="190"/>
      <c r="F70" s="190"/>
      <c r="G70" s="191"/>
      <c r="H70" s="18"/>
      <c r="I70" s="18"/>
      <c r="J70" s="18"/>
    </row>
    <row r="72" spans="2:21" ht="15.75" thickBot="1"/>
    <row r="73" spans="2:21" ht="27.75" customHeight="1">
      <c r="B73" s="196" t="s">
        <v>28</v>
      </c>
      <c r="C73" s="197"/>
      <c r="D73" s="203" t="s">
        <v>32</v>
      </c>
      <c r="E73" s="206"/>
      <c r="F73" s="227" t="s">
        <v>33</v>
      </c>
      <c r="G73" s="228"/>
      <c r="H73" s="228"/>
      <c r="I73" s="228"/>
      <c r="J73" s="228"/>
      <c r="K73" s="228"/>
      <c r="L73" s="228"/>
      <c r="M73" s="228"/>
      <c r="N73" s="228"/>
      <c r="O73" s="228"/>
      <c r="P73" s="228"/>
      <c r="Q73" s="229"/>
      <c r="R73" s="230"/>
      <c r="T73" s="17"/>
      <c r="U73" s="17"/>
    </row>
    <row r="74" spans="2:21" ht="27.75" customHeight="1">
      <c r="B74" s="198"/>
      <c r="C74" s="199"/>
      <c r="D74" s="205" t="s">
        <v>5</v>
      </c>
      <c r="E74" s="207"/>
      <c r="F74" s="213" t="s">
        <v>34</v>
      </c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5"/>
      <c r="R74" s="216"/>
    </row>
    <row r="75" spans="2:21" ht="27.75" customHeight="1">
      <c r="B75" s="198"/>
      <c r="C75" s="199"/>
      <c r="D75" s="205" t="s">
        <v>6</v>
      </c>
      <c r="E75" s="207"/>
      <c r="F75" s="213" t="s">
        <v>35</v>
      </c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5"/>
      <c r="R75" s="216"/>
    </row>
    <row r="76" spans="2:21" ht="27.75" customHeight="1">
      <c r="B76" s="198"/>
      <c r="C76" s="199"/>
      <c r="D76" s="205" t="s">
        <v>36</v>
      </c>
      <c r="E76" s="207"/>
      <c r="F76" s="213" t="s">
        <v>37</v>
      </c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5"/>
      <c r="R76" s="216"/>
    </row>
    <row r="77" spans="2:21" ht="27.75" customHeight="1">
      <c r="B77" s="198"/>
      <c r="C77" s="199"/>
      <c r="D77" s="205" t="s">
        <v>38</v>
      </c>
      <c r="E77" s="207"/>
      <c r="F77" s="213" t="s">
        <v>39</v>
      </c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5"/>
      <c r="R77" s="216"/>
    </row>
    <row r="78" spans="2:21" ht="27.75" customHeight="1" thickBot="1">
      <c r="B78" s="200"/>
      <c r="C78" s="201"/>
      <c r="D78" s="194" t="s">
        <v>9</v>
      </c>
      <c r="E78" s="195"/>
      <c r="F78" s="231" t="s">
        <v>40</v>
      </c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3"/>
      <c r="R78" s="234"/>
    </row>
    <row r="79" spans="2:21" ht="27.75" customHeight="1">
      <c r="B79" s="196" t="s">
        <v>30</v>
      </c>
      <c r="C79" s="197"/>
      <c r="D79" s="202" t="s">
        <v>10</v>
      </c>
      <c r="E79" s="203"/>
      <c r="F79" s="227" t="s">
        <v>41</v>
      </c>
      <c r="G79" s="228"/>
      <c r="H79" s="228"/>
      <c r="I79" s="228"/>
      <c r="J79" s="228"/>
      <c r="K79" s="228"/>
      <c r="L79" s="228"/>
      <c r="M79" s="228"/>
      <c r="N79" s="228"/>
      <c r="O79" s="228"/>
      <c r="P79" s="228"/>
      <c r="Q79" s="229"/>
      <c r="R79" s="230"/>
    </row>
    <row r="80" spans="2:21" ht="27.75" customHeight="1">
      <c r="B80" s="198"/>
      <c r="C80" s="199"/>
      <c r="D80" s="204" t="s">
        <v>11</v>
      </c>
      <c r="E80" s="205"/>
      <c r="F80" s="213" t="s">
        <v>42</v>
      </c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5"/>
      <c r="R80" s="216"/>
    </row>
    <row r="81" spans="2:21" ht="27.75" customHeight="1">
      <c r="B81" s="198"/>
      <c r="C81" s="199"/>
      <c r="D81" s="204" t="s">
        <v>12</v>
      </c>
      <c r="E81" s="205"/>
      <c r="F81" s="213" t="s">
        <v>43</v>
      </c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5"/>
      <c r="R81" s="216"/>
    </row>
    <row r="82" spans="2:21" ht="27.75" customHeight="1">
      <c r="B82" s="198"/>
      <c r="C82" s="199"/>
      <c r="D82" s="204" t="s">
        <v>13</v>
      </c>
      <c r="E82" s="205"/>
      <c r="F82" s="213" t="s">
        <v>44</v>
      </c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5"/>
      <c r="R82" s="216"/>
    </row>
    <row r="83" spans="2:21" ht="27.75" customHeight="1">
      <c r="B83" s="198"/>
      <c r="C83" s="199"/>
      <c r="D83" s="204" t="s">
        <v>45</v>
      </c>
      <c r="E83" s="205"/>
      <c r="F83" s="213" t="s">
        <v>46</v>
      </c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5"/>
      <c r="R83" s="216"/>
      <c r="T83" s="17"/>
      <c r="U83" s="17"/>
    </row>
    <row r="84" spans="2:21" ht="27.75" customHeight="1">
      <c r="B84" s="198"/>
      <c r="C84" s="199"/>
      <c r="D84" s="204" t="s">
        <v>47</v>
      </c>
      <c r="E84" s="205"/>
      <c r="F84" s="213" t="s">
        <v>48</v>
      </c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5"/>
      <c r="R84" s="216"/>
    </row>
    <row r="85" spans="2:21" ht="48" customHeight="1">
      <c r="B85" s="198"/>
      <c r="C85" s="199"/>
      <c r="D85" s="204" t="s">
        <v>15</v>
      </c>
      <c r="E85" s="205"/>
      <c r="F85" s="213" t="s">
        <v>49</v>
      </c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5"/>
      <c r="R85" s="216"/>
    </row>
    <row r="86" spans="2:21" ht="27.75" customHeight="1" thickBot="1">
      <c r="B86" s="200"/>
      <c r="C86" s="201"/>
      <c r="D86" s="208" t="s">
        <v>16</v>
      </c>
      <c r="E86" s="194"/>
      <c r="F86" s="217" t="s">
        <v>50</v>
      </c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9"/>
      <c r="R86" s="220"/>
    </row>
    <row r="87" spans="2:21"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</row>
    <row r="92" spans="2:21" ht="16.5" customHeight="1"/>
    <row r="96" spans="2:21" ht="16.5" customHeight="1"/>
    <row r="123" spans="2:18" ht="30" customHeight="1"/>
    <row r="128" spans="2:18" s="19" customFormat="1" ht="27.75" customHeight="1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2:18" s="19" customFormat="1" ht="27.75" customHeight="1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2:18" s="19" customFormat="1" ht="27.75" customHeight="1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2:18" s="19" customFormat="1" ht="27.75" customHeight="1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2:18" s="19" customFormat="1" ht="27.75" customHeight="1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2:18" s="19" customFormat="1" ht="27.75" customHeight="1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2:18" s="19" customFormat="1" ht="27.75" customHeight="1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2:18" s="19" customFormat="1" ht="27.75" customHeight="1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2:18" s="19" customFormat="1" ht="27.75" customHeight="1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2:18" s="19" customFormat="1" ht="27.75" customHeight="1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2:18" s="19" customFormat="1" ht="27.75" customHeight="1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2:18" s="19" customFormat="1" ht="27.75" customHeight="1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2:18" s="19" customFormat="1" ht="41.25" customHeight="1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2:18" s="19" customFormat="1" ht="27.75" customHeight="1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2:18" s="19" customFormat="1" ht="25.5" customHeight="1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</row>
  </sheetData>
  <mergeCells count="37">
    <mergeCell ref="F76:R76"/>
    <mergeCell ref="F77:R77"/>
    <mergeCell ref="F78:R78"/>
    <mergeCell ref="F79:R79"/>
    <mergeCell ref="F80:R80"/>
    <mergeCell ref="B70:C70"/>
    <mergeCell ref="D70:G70"/>
    <mergeCell ref="F73:R73"/>
    <mergeCell ref="F74:R74"/>
    <mergeCell ref="F75:R75"/>
    <mergeCell ref="B2:R2"/>
    <mergeCell ref="C6:H6"/>
    <mergeCell ref="I6:R6"/>
    <mergeCell ref="B69:C69"/>
    <mergeCell ref="D69:G69"/>
    <mergeCell ref="B79:C86"/>
    <mergeCell ref="D79:E79"/>
    <mergeCell ref="D80:E80"/>
    <mergeCell ref="D81:E81"/>
    <mergeCell ref="B73:C78"/>
    <mergeCell ref="D73:E73"/>
    <mergeCell ref="D74:E74"/>
    <mergeCell ref="D75:E75"/>
    <mergeCell ref="D85:E85"/>
    <mergeCell ref="D86:E86"/>
    <mergeCell ref="D82:E82"/>
    <mergeCell ref="D83:E83"/>
    <mergeCell ref="D84:E84"/>
    <mergeCell ref="D76:E76"/>
    <mergeCell ref="D77:E77"/>
    <mergeCell ref="F83:R83"/>
    <mergeCell ref="F84:R84"/>
    <mergeCell ref="F85:R85"/>
    <mergeCell ref="F86:R86"/>
    <mergeCell ref="D78:E78"/>
    <mergeCell ref="F81:R81"/>
    <mergeCell ref="F82:R82"/>
  </mergeCells>
  <pageMargins left="0.511811024" right="0.511811024" top="0.78740157499999996" bottom="0.78740157499999996" header="0.31496062000000002" footer="0.31496062000000002"/>
  <pageSetup paperSize="9" scale="32" orientation="landscape" r:id="rId1"/>
  <colBreaks count="1" manualBreakCount="1">
    <brk id="18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B1:V120"/>
  <sheetViews>
    <sheetView showGridLines="0" zoomScale="70" zoomScaleNormal="70" workbookViewId="0">
      <selection activeCell="E7" sqref="E7"/>
    </sheetView>
  </sheetViews>
  <sheetFormatPr defaultRowHeight="15"/>
  <cols>
    <col min="1" max="1" width="5.7109375" customWidth="1"/>
    <col min="2" max="2" width="20" customWidth="1"/>
    <col min="3" max="3" width="10.28515625" customWidth="1"/>
    <col min="4" max="4" width="11.85546875" customWidth="1"/>
    <col min="5" max="5" width="13.42578125" customWidth="1"/>
    <col min="6" max="6" width="13.5703125" customWidth="1"/>
    <col min="7" max="7" width="12.140625" customWidth="1"/>
    <col min="8" max="8" width="15.7109375" customWidth="1"/>
    <col min="9" max="10" width="11.5703125" customWidth="1"/>
    <col min="11" max="12" width="13.28515625" customWidth="1"/>
    <col min="13" max="13" width="16.7109375" customWidth="1"/>
    <col min="14" max="14" width="12.7109375" customWidth="1"/>
    <col min="15" max="15" width="14.85546875" customWidth="1"/>
    <col min="16" max="18" width="14.42578125" customWidth="1"/>
    <col min="19" max="19" width="14.85546875" customWidth="1"/>
  </cols>
  <sheetData>
    <row r="1" spans="2:22" ht="15.75" thickBot="1"/>
    <row r="2" spans="2:22" s="1" customFormat="1" ht="40.5" customHeight="1" thickBot="1">
      <c r="B2" s="179" t="s">
        <v>77</v>
      </c>
      <c r="C2" s="180"/>
      <c r="D2" s="180"/>
      <c r="E2" s="180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</row>
    <row r="3" spans="2:22" ht="15.75" thickBot="1"/>
    <row r="4" spans="2:22" ht="15.75" thickBot="1">
      <c r="B4" s="2" t="s">
        <v>1</v>
      </c>
      <c r="C4" s="3">
        <f ca="1">TODAY()</f>
        <v>42388</v>
      </c>
      <c r="D4" s="4"/>
      <c r="E4" s="4"/>
      <c r="K4" s="5"/>
      <c r="L4" s="5"/>
      <c r="M4" s="5"/>
      <c r="N4" s="5"/>
      <c r="O4" s="5"/>
    </row>
    <row r="5" spans="2:22" ht="15.75" thickBot="1">
      <c r="B5" s="6"/>
      <c r="C5" s="6"/>
      <c r="D5" s="6"/>
      <c r="E5" s="6"/>
      <c r="G5" s="5"/>
      <c r="H5" s="5"/>
      <c r="I5" s="5"/>
      <c r="J5" s="5"/>
      <c r="K5" s="5"/>
      <c r="L5" s="5"/>
      <c r="M5" s="5"/>
      <c r="N5" s="5"/>
      <c r="O5" s="5"/>
    </row>
    <row r="6" spans="2:22" ht="24" thickBot="1">
      <c r="B6" s="7"/>
      <c r="C6" s="182" t="s">
        <v>2</v>
      </c>
      <c r="D6" s="183"/>
      <c r="E6" s="183"/>
      <c r="F6" s="183"/>
      <c r="G6" s="183"/>
      <c r="H6" s="184"/>
      <c r="I6" s="185" t="s">
        <v>3</v>
      </c>
      <c r="J6" s="185"/>
      <c r="K6" s="185"/>
      <c r="L6" s="185"/>
      <c r="M6" s="185"/>
      <c r="N6" s="185"/>
      <c r="O6" s="185"/>
      <c r="P6" s="185"/>
      <c r="Q6" s="185"/>
      <c r="R6" s="185"/>
      <c r="S6" s="186"/>
    </row>
    <row r="7" spans="2:22" ht="60" customHeight="1" thickBot="1">
      <c r="B7" s="8"/>
      <c r="C7" s="9" t="s">
        <v>4</v>
      </c>
      <c r="D7" s="10" t="s">
        <v>5</v>
      </c>
      <c r="E7" s="11" t="s">
        <v>103</v>
      </c>
      <c r="F7" s="12" t="s">
        <v>7</v>
      </c>
      <c r="G7" s="12" t="s">
        <v>8</v>
      </c>
      <c r="H7" s="13" t="s">
        <v>9</v>
      </c>
      <c r="I7" s="10" t="s">
        <v>10</v>
      </c>
      <c r="J7" s="10" t="s">
        <v>75</v>
      </c>
      <c r="K7" s="12" t="s">
        <v>11</v>
      </c>
      <c r="L7" s="12" t="s">
        <v>76</v>
      </c>
      <c r="M7" s="12" t="s">
        <v>12</v>
      </c>
      <c r="N7" s="12" t="s">
        <v>13</v>
      </c>
      <c r="O7" s="12" t="s">
        <v>14</v>
      </c>
      <c r="P7" s="12" t="s">
        <v>15</v>
      </c>
      <c r="Q7" s="13" t="s">
        <v>16</v>
      </c>
      <c r="R7" s="13" t="s">
        <v>74</v>
      </c>
      <c r="S7" s="13" t="s">
        <v>73</v>
      </c>
    </row>
    <row r="8" spans="2:22">
      <c r="B8" s="42" t="s">
        <v>17</v>
      </c>
      <c r="C8" s="43"/>
      <c r="D8" s="44"/>
      <c r="E8" s="44"/>
      <c r="F8" s="44"/>
      <c r="G8" s="44"/>
      <c r="H8" s="45"/>
      <c r="I8" s="44"/>
      <c r="J8" s="44"/>
      <c r="K8" s="44"/>
      <c r="L8" s="44"/>
      <c r="M8" s="44"/>
      <c r="N8" s="44"/>
      <c r="O8" s="44"/>
      <c r="P8" s="44"/>
      <c r="Q8" s="44"/>
      <c r="R8" s="44"/>
      <c r="S8" s="45"/>
      <c r="U8" s="17"/>
      <c r="V8" s="17"/>
    </row>
    <row r="9" spans="2:22">
      <c r="B9" s="46">
        <f ca="1">C4-1</f>
        <v>42387</v>
      </c>
      <c r="C9" s="47">
        <v>740</v>
      </c>
      <c r="D9" s="48">
        <v>117</v>
      </c>
      <c r="E9" s="48">
        <v>143</v>
      </c>
      <c r="F9" s="48">
        <v>337</v>
      </c>
      <c r="G9" s="48">
        <v>575</v>
      </c>
      <c r="H9" s="49">
        <v>200930</v>
      </c>
      <c r="I9" s="50">
        <v>191</v>
      </c>
      <c r="J9" s="50"/>
      <c r="K9" s="48">
        <v>373</v>
      </c>
      <c r="L9" s="48"/>
      <c r="M9" s="51">
        <v>1.95287958115183</v>
      </c>
      <c r="N9" s="52">
        <v>0.14075165806926998</v>
      </c>
      <c r="O9" s="51">
        <v>82.415549597855204</v>
      </c>
      <c r="P9" s="52">
        <v>3.2710280373831703E-2</v>
      </c>
      <c r="Q9" s="52"/>
      <c r="R9" s="52">
        <v>1.48</v>
      </c>
      <c r="S9" s="48">
        <f>((I9+J9)+(K9+L9))/2*(O9*K9)*R9</f>
        <v>12830063.759999998</v>
      </c>
    </row>
    <row r="10" spans="2:22">
      <c r="B10" s="46">
        <f ca="1">C4-8</f>
        <v>42380</v>
      </c>
      <c r="C10" s="47">
        <v>865</v>
      </c>
      <c r="D10" s="48">
        <v>117</v>
      </c>
      <c r="E10" s="48">
        <v>147</v>
      </c>
      <c r="F10" s="48">
        <v>437</v>
      </c>
      <c r="G10" s="48">
        <v>539</v>
      </c>
      <c r="H10" s="49">
        <v>199284</v>
      </c>
      <c r="I10" s="50">
        <v>251</v>
      </c>
      <c r="J10" s="50"/>
      <c r="K10" s="48">
        <v>600</v>
      </c>
      <c r="L10" s="48"/>
      <c r="M10" s="51">
        <v>2.3904382470119501</v>
      </c>
      <c r="N10" s="52">
        <v>0.18647845468053398</v>
      </c>
      <c r="O10" s="51">
        <v>49.5283333333333</v>
      </c>
      <c r="P10" s="52">
        <v>3.7410071942446006E-2</v>
      </c>
      <c r="Q10" s="52"/>
      <c r="R10" s="52">
        <v>1.23</v>
      </c>
      <c r="S10" s="48">
        <f t="shared" ref="S10:S12" si="0">((I10+J10)+(K10+L10))/2*(O10*K10)*R10</f>
        <v>15552837.704999991</v>
      </c>
    </row>
    <row r="11" spans="2:22">
      <c r="B11" s="53">
        <f ca="1">C4-15</f>
        <v>42373</v>
      </c>
      <c r="C11" s="47">
        <v>815</v>
      </c>
      <c r="D11" s="48">
        <v>127</v>
      </c>
      <c r="E11" s="48">
        <v>170</v>
      </c>
      <c r="F11" s="48">
        <v>398</v>
      </c>
      <c r="G11" s="48">
        <v>543</v>
      </c>
      <c r="H11" s="49">
        <v>331654</v>
      </c>
      <c r="I11" s="50">
        <v>211</v>
      </c>
      <c r="J11" s="50"/>
      <c r="K11" s="48">
        <v>437</v>
      </c>
      <c r="L11" s="98"/>
      <c r="M11" s="54">
        <v>2.0710900473933602</v>
      </c>
      <c r="N11" s="52">
        <v>0.17583333333333301</v>
      </c>
      <c r="O11" s="54">
        <v>125.67505720823699</v>
      </c>
      <c r="P11" s="52">
        <v>0.13242009132419999</v>
      </c>
      <c r="Q11" s="52"/>
      <c r="R11" s="52">
        <v>0.99</v>
      </c>
      <c r="S11" s="48">
        <f t="shared" si="0"/>
        <v>17616139.199999861</v>
      </c>
    </row>
    <row r="12" spans="2:22" ht="15.75" thickBot="1">
      <c r="B12" s="53">
        <f ca="1">C4-22</f>
        <v>42366</v>
      </c>
      <c r="C12" s="47">
        <v>786</v>
      </c>
      <c r="D12" s="48">
        <v>141</v>
      </c>
      <c r="E12" s="48">
        <v>129</v>
      </c>
      <c r="F12" s="48">
        <v>335</v>
      </c>
      <c r="G12" s="48">
        <v>401</v>
      </c>
      <c r="H12" s="49">
        <v>153299</v>
      </c>
      <c r="I12" s="50">
        <v>165</v>
      </c>
      <c r="J12" s="50"/>
      <c r="K12" s="48">
        <v>319</v>
      </c>
      <c r="L12" s="98"/>
      <c r="M12" s="55">
        <v>1.9333333333333298</v>
      </c>
      <c r="N12" s="52">
        <v>0.16683518705763301</v>
      </c>
      <c r="O12" s="55">
        <v>54.078369905956102</v>
      </c>
      <c r="P12" s="52">
        <v>7.9812206572769898E-2</v>
      </c>
      <c r="Q12" s="52"/>
      <c r="R12" s="52">
        <v>1.1599999999999999</v>
      </c>
      <c r="S12" s="48">
        <f t="shared" si="0"/>
        <v>4842700.7199999988</v>
      </c>
    </row>
    <row r="13" spans="2:22">
      <c r="B13" s="56" t="s">
        <v>25</v>
      </c>
      <c r="C13" s="57"/>
      <c r="D13" s="58"/>
      <c r="E13" s="58"/>
      <c r="F13" s="58"/>
      <c r="G13" s="58"/>
      <c r="H13" s="59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9"/>
    </row>
    <row r="14" spans="2:22">
      <c r="B14" s="46">
        <f ca="1">$B$9</f>
        <v>42387</v>
      </c>
      <c r="C14" s="60"/>
      <c r="D14" s="61"/>
      <c r="E14" s="61"/>
      <c r="F14" s="62"/>
      <c r="G14" s="62"/>
      <c r="H14" s="63"/>
      <c r="I14" s="64"/>
      <c r="J14" s="64"/>
      <c r="K14" s="61"/>
      <c r="L14" s="61"/>
      <c r="M14" s="51"/>
      <c r="N14" s="52"/>
      <c r="O14" s="51"/>
      <c r="P14" s="52"/>
      <c r="Q14" s="52"/>
      <c r="R14" s="52">
        <v>0.41</v>
      </c>
      <c r="S14" s="48">
        <f>((I14+J14)+(K14+L14))/2*(O14*K14)*R14</f>
        <v>0</v>
      </c>
    </row>
    <row r="15" spans="2:22">
      <c r="B15" s="46">
        <f ca="1">$B$10</f>
        <v>42380</v>
      </c>
      <c r="C15" s="60"/>
      <c r="D15" s="61"/>
      <c r="E15" s="61"/>
      <c r="F15" s="62"/>
      <c r="G15" s="62"/>
      <c r="H15" s="63"/>
      <c r="I15" s="64"/>
      <c r="J15" s="64"/>
      <c r="K15" s="61"/>
      <c r="L15" s="61"/>
      <c r="M15" s="51"/>
      <c r="N15" s="52"/>
      <c r="O15" s="51"/>
      <c r="P15" s="52"/>
      <c r="Q15" s="52"/>
      <c r="R15" s="52">
        <v>0.47</v>
      </c>
      <c r="S15" s="48">
        <f>((I15+J15)+(K15+L15))/2*(O15*K15)*R15</f>
        <v>0</v>
      </c>
    </row>
    <row r="16" spans="2:22">
      <c r="B16" s="46">
        <f ca="1">$B$11</f>
        <v>42373</v>
      </c>
      <c r="C16" s="60"/>
      <c r="D16" s="61"/>
      <c r="E16" s="61"/>
      <c r="F16" s="62"/>
      <c r="G16" s="62"/>
      <c r="H16" s="63"/>
      <c r="I16" s="64"/>
      <c r="J16" s="64"/>
      <c r="K16" s="65"/>
      <c r="L16" s="99"/>
      <c r="M16" s="54"/>
      <c r="N16" s="52"/>
      <c r="O16" s="54"/>
      <c r="P16" s="52"/>
      <c r="Q16" s="52"/>
      <c r="R16" s="52">
        <v>0.45</v>
      </c>
      <c r="S16" s="48">
        <f t="shared" ref="S16:S17" si="1">((I16+J16)+(K16+L16))/2*(O16*K16)*R16</f>
        <v>0</v>
      </c>
    </row>
    <row r="17" spans="2:22" ht="15.75" thickBot="1">
      <c r="B17" s="46">
        <f ca="1">$B$12</f>
        <v>42366</v>
      </c>
      <c r="C17" s="60"/>
      <c r="D17" s="61"/>
      <c r="E17" s="61"/>
      <c r="F17" s="62"/>
      <c r="G17" s="62"/>
      <c r="H17" s="63"/>
      <c r="I17" s="66"/>
      <c r="J17" s="66"/>
      <c r="K17" s="67"/>
      <c r="L17" s="67"/>
      <c r="M17" s="55"/>
      <c r="N17" s="52"/>
      <c r="O17" s="55"/>
      <c r="P17" s="52"/>
      <c r="Q17" s="52"/>
      <c r="R17" s="52">
        <v>0.68</v>
      </c>
      <c r="S17" s="48">
        <f t="shared" si="1"/>
        <v>0</v>
      </c>
    </row>
    <row r="18" spans="2:22">
      <c r="B18" s="56" t="s">
        <v>24</v>
      </c>
      <c r="C18" s="57"/>
      <c r="D18" s="58"/>
      <c r="E18" s="58"/>
      <c r="F18" s="58"/>
      <c r="G18" s="58"/>
      <c r="H18" s="59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9"/>
      <c r="U18" s="17"/>
      <c r="V18" s="17"/>
    </row>
    <row r="19" spans="2:22">
      <c r="B19" s="46">
        <f ca="1">$B$9</f>
        <v>42387</v>
      </c>
      <c r="C19" s="60"/>
      <c r="D19" s="61"/>
      <c r="E19" s="61"/>
      <c r="F19" s="61"/>
      <c r="G19" s="61"/>
      <c r="H19" s="63"/>
      <c r="I19" s="64"/>
      <c r="J19" s="64"/>
      <c r="K19" s="61"/>
      <c r="L19" s="61"/>
      <c r="M19" s="51"/>
      <c r="N19" s="52"/>
      <c r="O19" s="51"/>
      <c r="P19" s="52"/>
      <c r="Q19" s="52"/>
      <c r="R19" s="52">
        <v>0.41</v>
      </c>
      <c r="S19" s="48">
        <f>((I19+J19)+(K19+L19))/2*(O19*K19)*R19</f>
        <v>0</v>
      </c>
    </row>
    <row r="20" spans="2:22">
      <c r="B20" s="46">
        <f ca="1">$B$10</f>
        <v>42380</v>
      </c>
      <c r="C20" s="60"/>
      <c r="D20" s="61"/>
      <c r="E20" s="61"/>
      <c r="F20" s="61"/>
      <c r="G20" s="61"/>
      <c r="H20" s="63"/>
      <c r="I20" s="64"/>
      <c r="J20" s="64"/>
      <c r="K20" s="61"/>
      <c r="L20" s="61"/>
      <c r="M20" s="51"/>
      <c r="N20" s="52"/>
      <c r="O20" s="51"/>
      <c r="P20" s="52"/>
      <c r="Q20" s="52"/>
      <c r="R20" s="52">
        <v>0.28000000000000003</v>
      </c>
      <c r="S20" s="48">
        <f t="shared" ref="S20:S22" si="2">((I20+J20)+(K20+L20))/2*(O20*K20)*R20</f>
        <v>0</v>
      </c>
    </row>
    <row r="21" spans="2:22">
      <c r="B21" s="46">
        <f ca="1">$B$11</f>
        <v>42373</v>
      </c>
      <c r="C21" s="60"/>
      <c r="D21" s="61"/>
      <c r="E21" s="61"/>
      <c r="F21" s="61"/>
      <c r="G21" s="61"/>
      <c r="H21" s="63"/>
      <c r="I21" s="64"/>
      <c r="J21" s="64"/>
      <c r="K21" s="61"/>
      <c r="L21" s="100"/>
      <c r="M21" s="54"/>
      <c r="N21" s="52"/>
      <c r="O21" s="54"/>
      <c r="P21" s="52"/>
      <c r="Q21" s="52"/>
      <c r="R21" s="52">
        <v>0.36</v>
      </c>
      <c r="S21" s="48">
        <f t="shared" si="2"/>
        <v>0</v>
      </c>
    </row>
    <row r="22" spans="2:22" ht="15.75" thickBot="1">
      <c r="B22" s="46">
        <f ca="1">$B$12</f>
        <v>42366</v>
      </c>
      <c r="C22" s="68"/>
      <c r="D22" s="67"/>
      <c r="E22" s="67"/>
      <c r="F22" s="67"/>
      <c r="G22" s="67"/>
      <c r="H22" s="69"/>
      <c r="I22" s="66"/>
      <c r="J22" s="66"/>
      <c r="K22" s="67"/>
      <c r="L22" s="67"/>
      <c r="M22" s="55"/>
      <c r="N22" s="52"/>
      <c r="O22" s="55"/>
      <c r="P22" s="52"/>
      <c r="Q22" s="52"/>
      <c r="R22" s="52">
        <v>2.2400000000000002</v>
      </c>
      <c r="S22" s="48">
        <f t="shared" si="2"/>
        <v>0</v>
      </c>
    </row>
    <row r="23" spans="2:22">
      <c r="B23" s="56" t="s">
        <v>23</v>
      </c>
      <c r="C23" s="57"/>
      <c r="D23" s="58"/>
      <c r="E23" s="58"/>
      <c r="F23" s="58"/>
      <c r="G23" s="58"/>
      <c r="H23" s="59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9"/>
    </row>
    <row r="24" spans="2:22">
      <c r="B24" s="46">
        <f ca="1">$B$9</f>
        <v>42387</v>
      </c>
      <c r="C24" s="60"/>
      <c r="D24" s="61"/>
      <c r="E24" s="61"/>
      <c r="F24" s="61"/>
      <c r="G24" s="61"/>
      <c r="H24" s="63"/>
      <c r="I24" s="64"/>
      <c r="J24" s="64"/>
      <c r="K24" s="61"/>
      <c r="L24" s="61"/>
      <c r="M24" s="51"/>
      <c r="N24" s="52"/>
      <c r="O24" s="51"/>
      <c r="P24" s="52"/>
      <c r="Q24" s="52"/>
      <c r="R24" s="52">
        <v>8.43</v>
      </c>
      <c r="S24" s="48">
        <f>((I24+J24)+(K24+L24))/2*(O24*K24)*R24</f>
        <v>0</v>
      </c>
    </row>
    <row r="25" spans="2:22">
      <c r="B25" s="46">
        <f ca="1">$B$10</f>
        <v>42380</v>
      </c>
      <c r="C25" s="60"/>
      <c r="D25" s="61"/>
      <c r="E25" s="61"/>
      <c r="F25" s="61"/>
      <c r="G25" s="61"/>
      <c r="H25" s="63"/>
      <c r="I25" s="64"/>
      <c r="J25" s="64"/>
      <c r="K25" s="61"/>
      <c r="L25" s="61"/>
      <c r="M25" s="51"/>
      <c r="N25" s="52"/>
      <c r="O25" s="51"/>
      <c r="P25" s="52"/>
      <c r="Q25" s="52"/>
      <c r="R25" s="52">
        <v>2.59</v>
      </c>
      <c r="S25" s="48">
        <f t="shared" ref="S25:S27" si="3">((I25+J25)+(K25+L25))/2*(O25*K25)*R25</f>
        <v>0</v>
      </c>
    </row>
    <row r="26" spans="2:22">
      <c r="B26" s="46">
        <f ca="1">$B$11</f>
        <v>42373</v>
      </c>
      <c r="C26" s="60"/>
      <c r="D26" s="61"/>
      <c r="E26" s="61"/>
      <c r="F26" s="61"/>
      <c r="G26" s="61"/>
      <c r="H26" s="63"/>
      <c r="I26" s="64"/>
      <c r="J26" s="64"/>
      <c r="K26" s="61"/>
      <c r="L26" s="100"/>
      <c r="M26" s="54"/>
      <c r="N26" s="52"/>
      <c r="O26" s="54"/>
      <c r="P26" s="52"/>
      <c r="Q26" s="52"/>
      <c r="R26" s="52">
        <v>2.3199999999999998</v>
      </c>
      <c r="S26" s="48">
        <f t="shared" si="3"/>
        <v>0</v>
      </c>
    </row>
    <row r="27" spans="2:22" ht="15.75" thickBot="1">
      <c r="B27" s="46">
        <f ca="1">$B$12</f>
        <v>42366</v>
      </c>
      <c r="C27" s="60"/>
      <c r="D27" s="61"/>
      <c r="E27" s="61"/>
      <c r="F27" s="61"/>
      <c r="G27" s="61"/>
      <c r="H27" s="63"/>
      <c r="I27" s="64"/>
      <c r="J27" s="64"/>
      <c r="K27" s="61"/>
      <c r="L27" s="100"/>
      <c r="M27" s="55"/>
      <c r="N27" s="52"/>
      <c r="O27" s="55"/>
      <c r="P27" s="52"/>
      <c r="Q27" s="52"/>
      <c r="R27" s="52">
        <v>1.87</v>
      </c>
      <c r="S27" s="48">
        <f t="shared" si="3"/>
        <v>0</v>
      </c>
    </row>
    <row r="28" spans="2:22">
      <c r="B28" s="70" t="s">
        <v>27</v>
      </c>
      <c r="C28" s="57"/>
      <c r="D28" s="58"/>
      <c r="E28" s="58"/>
      <c r="F28" s="58"/>
      <c r="G28" s="58"/>
      <c r="H28" s="59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9"/>
      <c r="U28" s="17"/>
      <c r="V28" s="17"/>
    </row>
    <row r="29" spans="2:22">
      <c r="B29" s="46">
        <f ca="1">$B$9</f>
        <v>42387</v>
      </c>
      <c r="C29" s="60"/>
      <c r="D29" s="61"/>
      <c r="E29" s="61"/>
      <c r="F29" s="61"/>
      <c r="G29" s="61"/>
      <c r="H29" s="63"/>
      <c r="I29" s="71"/>
      <c r="J29" s="71"/>
      <c r="K29" s="62"/>
      <c r="L29" s="62"/>
      <c r="M29" s="51"/>
      <c r="N29" s="52"/>
      <c r="O29" s="51"/>
      <c r="P29" s="52"/>
      <c r="Q29" s="52"/>
      <c r="R29" s="52">
        <v>1.6</v>
      </c>
      <c r="S29" s="48">
        <f>((I29+J29)+(K29+L29))/2*(O29*K29)*R29</f>
        <v>0</v>
      </c>
    </row>
    <row r="30" spans="2:22">
      <c r="B30" s="46">
        <f ca="1">$B$10</f>
        <v>42380</v>
      </c>
      <c r="C30" s="60"/>
      <c r="D30" s="61"/>
      <c r="E30" s="61"/>
      <c r="F30" s="61"/>
      <c r="G30" s="61"/>
      <c r="H30" s="63"/>
      <c r="I30" s="71"/>
      <c r="J30" s="71"/>
      <c r="K30" s="62"/>
      <c r="L30" s="62"/>
      <c r="M30" s="51"/>
      <c r="N30" s="52"/>
      <c r="O30" s="51"/>
      <c r="P30" s="52"/>
      <c r="Q30" s="52"/>
      <c r="R30" s="52">
        <v>1.24</v>
      </c>
      <c r="S30" s="48">
        <f t="shared" ref="S30:S32" si="4">((I30+J30)+(K30+L30))/2*(O30*K30)*R30</f>
        <v>0</v>
      </c>
    </row>
    <row r="31" spans="2:22">
      <c r="B31" s="46">
        <f ca="1">$B$11</f>
        <v>42373</v>
      </c>
      <c r="C31" s="60"/>
      <c r="D31" s="61"/>
      <c r="E31" s="61"/>
      <c r="F31" s="61"/>
      <c r="G31" s="61"/>
      <c r="H31" s="63"/>
      <c r="I31" s="64"/>
      <c r="J31" s="64"/>
      <c r="K31" s="61"/>
      <c r="L31" s="100"/>
      <c r="M31" s="54"/>
      <c r="N31" s="52"/>
      <c r="O31" s="54"/>
      <c r="P31" s="52"/>
      <c r="Q31" s="52"/>
      <c r="R31" s="52">
        <v>1.22</v>
      </c>
      <c r="S31" s="48">
        <f t="shared" si="4"/>
        <v>0</v>
      </c>
    </row>
    <row r="32" spans="2:22" ht="15.75" thickBot="1">
      <c r="B32" s="46">
        <f ca="1">$B$12</f>
        <v>42366</v>
      </c>
      <c r="C32" s="60"/>
      <c r="D32" s="61"/>
      <c r="E32" s="61"/>
      <c r="F32" s="61"/>
      <c r="G32" s="61"/>
      <c r="H32" s="63"/>
      <c r="I32" s="66"/>
      <c r="J32" s="66"/>
      <c r="K32" s="67"/>
      <c r="L32" s="67"/>
      <c r="M32" s="55"/>
      <c r="N32" s="52"/>
      <c r="O32" s="55"/>
      <c r="P32" s="52"/>
      <c r="Q32" s="52"/>
      <c r="R32" s="52">
        <v>0.28000000000000003</v>
      </c>
      <c r="S32" s="48">
        <f t="shared" si="4"/>
        <v>0</v>
      </c>
    </row>
    <row r="33" spans="2:19">
      <c r="B33" s="70" t="s">
        <v>19</v>
      </c>
      <c r="C33" s="57"/>
      <c r="D33" s="58"/>
      <c r="E33" s="58"/>
      <c r="F33" s="58"/>
      <c r="G33" s="58"/>
      <c r="H33" s="59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9"/>
    </row>
    <row r="34" spans="2:19">
      <c r="B34" s="46">
        <f ca="1">$B$9</f>
        <v>42387</v>
      </c>
      <c r="C34" s="60"/>
      <c r="D34" s="61"/>
      <c r="E34" s="61"/>
      <c r="F34" s="61"/>
      <c r="G34" s="61"/>
      <c r="H34" s="49"/>
      <c r="I34" s="64"/>
      <c r="J34" s="64"/>
      <c r="K34" s="61"/>
      <c r="L34" s="61"/>
      <c r="M34" s="51"/>
      <c r="N34" s="52"/>
      <c r="O34" s="51"/>
      <c r="P34" s="52"/>
      <c r="Q34" s="52"/>
      <c r="R34" s="52">
        <v>3.01</v>
      </c>
      <c r="S34" s="48">
        <f>((I34+J34)+(K34+L34))/2*(O34*K34)*R34</f>
        <v>0</v>
      </c>
    </row>
    <row r="35" spans="2:19">
      <c r="B35" s="46">
        <f ca="1">$B$10</f>
        <v>42380</v>
      </c>
      <c r="C35" s="60"/>
      <c r="D35" s="61"/>
      <c r="E35" s="61"/>
      <c r="F35" s="61"/>
      <c r="G35" s="61"/>
      <c r="H35" s="49"/>
      <c r="I35" s="64"/>
      <c r="J35" s="64"/>
      <c r="K35" s="61"/>
      <c r="L35" s="61"/>
      <c r="M35" s="51"/>
      <c r="N35" s="52"/>
      <c r="O35" s="51"/>
      <c r="P35" s="52"/>
      <c r="Q35" s="52"/>
      <c r="R35" s="52">
        <v>3.25</v>
      </c>
      <c r="S35" s="48">
        <f t="shared" ref="S35:S37" si="5">((I35+J35)+(K35+L35))/2*(O35*K35)*R35</f>
        <v>0</v>
      </c>
    </row>
    <row r="36" spans="2:19">
      <c r="B36" s="46">
        <f ca="1">$B$11</f>
        <v>42373</v>
      </c>
      <c r="C36" s="60"/>
      <c r="D36" s="61"/>
      <c r="E36" s="61"/>
      <c r="F36" s="61"/>
      <c r="G36" s="61"/>
      <c r="H36" s="49"/>
      <c r="I36" s="64"/>
      <c r="J36" s="64"/>
      <c r="K36" s="61"/>
      <c r="L36" s="100"/>
      <c r="M36" s="54"/>
      <c r="N36" s="52"/>
      <c r="O36" s="54"/>
      <c r="P36" s="52"/>
      <c r="Q36" s="52"/>
      <c r="R36" s="52">
        <v>1.44</v>
      </c>
      <c r="S36" s="48">
        <f t="shared" si="5"/>
        <v>0</v>
      </c>
    </row>
    <row r="37" spans="2:19" ht="16.5" customHeight="1" thickBot="1">
      <c r="B37" s="46">
        <f ca="1">$B$12</f>
        <v>42366</v>
      </c>
      <c r="C37" s="60"/>
      <c r="D37" s="61"/>
      <c r="E37" s="61"/>
      <c r="F37" s="61"/>
      <c r="G37" s="61"/>
      <c r="H37" s="49"/>
      <c r="I37" s="66"/>
      <c r="J37" s="66"/>
      <c r="K37" s="67"/>
      <c r="L37" s="67"/>
      <c r="M37" s="55"/>
      <c r="N37" s="52"/>
      <c r="O37" s="55"/>
      <c r="P37" s="52"/>
      <c r="Q37" s="52"/>
      <c r="R37" s="52">
        <v>2.76</v>
      </c>
      <c r="S37" s="48">
        <f t="shared" si="5"/>
        <v>0</v>
      </c>
    </row>
    <row r="38" spans="2:19">
      <c r="B38" s="70" t="s">
        <v>20</v>
      </c>
      <c r="C38" s="57"/>
      <c r="D38" s="58"/>
      <c r="E38" s="58"/>
      <c r="F38" s="58"/>
      <c r="G38" s="58"/>
      <c r="H38" s="59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9"/>
    </row>
    <row r="39" spans="2:19">
      <c r="B39" s="46">
        <f ca="1">$B$9</f>
        <v>42387</v>
      </c>
      <c r="C39" s="60"/>
      <c r="D39" s="61"/>
      <c r="E39" s="61"/>
      <c r="F39" s="61"/>
      <c r="G39" s="61"/>
      <c r="H39" s="49"/>
      <c r="I39" s="64"/>
      <c r="J39" s="64"/>
      <c r="K39" s="61"/>
      <c r="L39" s="61"/>
      <c r="M39" s="51"/>
      <c r="N39" s="52"/>
      <c r="O39" s="51"/>
      <c r="P39" s="52"/>
      <c r="Q39" s="52"/>
      <c r="R39" s="52">
        <v>0.61</v>
      </c>
      <c r="S39" s="48">
        <f>((I39+J39)+(K39+L39))/2*(O39*K39)*R39</f>
        <v>0</v>
      </c>
    </row>
    <row r="40" spans="2:19">
      <c r="B40" s="46">
        <f ca="1">$B$10</f>
        <v>42380</v>
      </c>
      <c r="C40" s="60"/>
      <c r="D40" s="61"/>
      <c r="E40" s="61"/>
      <c r="F40" s="61"/>
      <c r="G40" s="61"/>
      <c r="H40" s="49"/>
      <c r="I40" s="64"/>
      <c r="J40" s="64"/>
      <c r="K40" s="61"/>
      <c r="L40" s="61"/>
      <c r="M40" s="51"/>
      <c r="N40" s="52"/>
      <c r="O40" s="51"/>
      <c r="P40" s="52"/>
      <c r="Q40" s="52"/>
      <c r="R40" s="52">
        <v>0.92</v>
      </c>
      <c r="S40" s="48">
        <f t="shared" ref="S40:S42" si="6">((I40+J40)+(K40+L40))/2*(O40*K40)*R40</f>
        <v>0</v>
      </c>
    </row>
    <row r="41" spans="2:19" ht="16.5" customHeight="1">
      <c r="B41" s="46">
        <f ca="1">$B$11</f>
        <v>42373</v>
      </c>
      <c r="C41" s="60"/>
      <c r="D41" s="61"/>
      <c r="E41" s="61"/>
      <c r="F41" s="61"/>
      <c r="G41" s="61"/>
      <c r="H41" s="49"/>
      <c r="I41" s="64"/>
      <c r="J41" s="64"/>
      <c r="K41" s="61"/>
      <c r="L41" s="100"/>
      <c r="M41" s="54"/>
      <c r="N41" s="52"/>
      <c r="O41" s="54"/>
      <c r="P41" s="52"/>
      <c r="Q41" s="52"/>
      <c r="R41" s="52">
        <v>1.32</v>
      </c>
      <c r="S41" s="48">
        <f t="shared" si="6"/>
        <v>0</v>
      </c>
    </row>
    <row r="42" spans="2:19" ht="15.75" thickBot="1">
      <c r="B42" s="46">
        <f ca="1">$B$12</f>
        <v>42366</v>
      </c>
      <c r="C42" s="60"/>
      <c r="D42" s="61"/>
      <c r="E42" s="61"/>
      <c r="F42" s="61"/>
      <c r="G42" s="61"/>
      <c r="H42" s="49"/>
      <c r="I42" s="64"/>
      <c r="J42" s="64"/>
      <c r="K42" s="61"/>
      <c r="L42" s="100"/>
      <c r="M42" s="55"/>
      <c r="N42" s="52"/>
      <c r="O42" s="55"/>
      <c r="P42" s="52"/>
      <c r="Q42" s="52"/>
      <c r="R42" s="52">
        <v>2.0499999999999998</v>
      </c>
      <c r="S42" s="48">
        <f t="shared" si="6"/>
        <v>0</v>
      </c>
    </row>
    <row r="43" spans="2:19">
      <c r="B43" s="70" t="s">
        <v>26</v>
      </c>
      <c r="C43" s="57"/>
      <c r="D43" s="58"/>
      <c r="E43" s="58"/>
      <c r="F43" s="58"/>
      <c r="G43" s="58"/>
      <c r="H43" s="59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9"/>
    </row>
    <row r="44" spans="2:19">
      <c r="B44" s="46">
        <f ca="1">$B$9</f>
        <v>42387</v>
      </c>
      <c r="C44" s="60"/>
      <c r="D44" s="61"/>
      <c r="E44" s="61"/>
      <c r="F44" s="61"/>
      <c r="G44" s="61"/>
      <c r="H44" s="49"/>
      <c r="I44" s="64"/>
      <c r="J44" s="64"/>
      <c r="K44" s="61"/>
      <c r="L44" s="61"/>
      <c r="M44" s="51"/>
      <c r="N44" s="52"/>
      <c r="O44" s="51"/>
      <c r="P44" s="52"/>
      <c r="Q44" s="52"/>
      <c r="R44" s="52">
        <v>1.7</v>
      </c>
      <c r="S44" s="48">
        <f>((I44+J44)+(K44+L44))/2*(O44*K44)*R44</f>
        <v>0</v>
      </c>
    </row>
    <row r="45" spans="2:19">
      <c r="B45" s="46">
        <f ca="1">$B$10</f>
        <v>42380</v>
      </c>
      <c r="C45" s="60"/>
      <c r="D45" s="61"/>
      <c r="E45" s="61"/>
      <c r="F45" s="61"/>
      <c r="G45" s="61"/>
      <c r="H45" s="49"/>
      <c r="I45" s="64"/>
      <c r="J45" s="64"/>
      <c r="K45" s="61"/>
      <c r="L45" s="61"/>
      <c r="M45" s="51"/>
      <c r="N45" s="52"/>
      <c r="O45" s="51"/>
      <c r="P45" s="52"/>
      <c r="Q45" s="52"/>
      <c r="R45" s="52">
        <v>1.79</v>
      </c>
      <c r="S45" s="48">
        <f t="shared" ref="S45:S47" si="7">((I45+J45)+(K45+L45))/2*(O45*K45)*R45</f>
        <v>0</v>
      </c>
    </row>
    <row r="46" spans="2:19">
      <c r="B46" s="46">
        <f ca="1">$B$11</f>
        <v>42373</v>
      </c>
      <c r="C46" s="60"/>
      <c r="D46" s="61"/>
      <c r="E46" s="61"/>
      <c r="F46" s="61"/>
      <c r="G46" s="61"/>
      <c r="H46" s="49"/>
      <c r="I46" s="64"/>
      <c r="J46" s="64"/>
      <c r="K46" s="61"/>
      <c r="L46" s="100"/>
      <c r="M46" s="54"/>
      <c r="N46" s="52"/>
      <c r="O46" s="54"/>
      <c r="P46" s="52"/>
      <c r="Q46" s="52"/>
      <c r="R46" s="52">
        <v>0.35</v>
      </c>
      <c r="S46" s="48">
        <f t="shared" si="7"/>
        <v>0</v>
      </c>
    </row>
    <row r="47" spans="2:19" ht="15.75" thickBot="1">
      <c r="B47" s="46">
        <f ca="1">$B$12</f>
        <v>42366</v>
      </c>
      <c r="C47" s="60"/>
      <c r="D47" s="61"/>
      <c r="E47" s="61"/>
      <c r="F47" s="61"/>
      <c r="G47" s="61"/>
      <c r="H47" s="49"/>
      <c r="I47" s="64"/>
      <c r="J47" s="64"/>
      <c r="K47" s="61"/>
      <c r="L47" s="100"/>
      <c r="M47" s="55"/>
      <c r="N47" s="52"/>
      <c r="O47" s="55"/>
      <c r="P47" s="52"/>
      <c r="Q47" s="52"/>
      <c r="R47" s="52">
        <v>3.82</v>
      </c>
      <c r="S47" s="48">
        <f t="shared" si="7"/>
        <v>0</v>
      </c>
    </row>
    <row r="48" spans="2:19">
      <c r="B48" s="70" t="s">
        <v>18</v>
      </c>
      <c r="C48" s="57"/>
      <c r="D48" s="58"/>
      <c r="E48" s="58"/>
      <c r="F48" s="58"/>
      <c r="G48" s="58"/>
      <c r="H48" s="59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9"/>
    </row>
    <row r="49" spans="2:19">
      <c r="B49" s="46">
        <f ca="1">$B$9</f>
        <v>42387</v>
      </c>
      <c r="C49" s="60"/>
      <c r="D49" s="61"/>
      <c r="E49" s="61"/>
      <c r="F49" s="61"/>
      <c r="G49" s="61"/>
      <c r="H49" s="72"/>
      <c r="I49" s="64"/>
      <c r="J49" s="64"/>
      <c r="K49" s="61"/>
      <c r="L49" s="61"/>
      <c r="M49" s="51"/>
      <c r="N49" s="52"/>
      <c r="O49" s="51"/>
      <c r="P49" s="52"/>
      <c r="Q49" s="52"/>
      <c r="R49" s="52">
        <v>3.37</v>
      </c>
      <c r="S49" s="48">
        <f>((I49+J49)+(K49+L49))/2*(O49*K49)*R49</f>
        <v>0</v>
      </c>
    </row>
    <row r="50" spans="2:19">
      <c r="B50" s="46">
        <f ca="1">$B$10</f>
        <v>42380</v>
      </c>
      <c r="C50" s="60"/>
      <c r="D50" s="61"/>
      <c r="E50" s="61"/>
      <c r="F50" s="61"/>
      <c r="G50" s="61"/>
      <c r="H50" s="72"/>
      <c r="I50" s="64"/>
      <c r="J50" s="64"/>
      <c r="K50" s="61"/>
      <c r="L50" s="61"/>
      <c r="M50" s="51"/>
      <c r="N50" s="52"/>
      <c r="O50" s="51"/>
      <c r="P50" s="52"/>
      <c r="Q50" s="52"/>
      <c r="R50" s="52">
        <v>3.98</v>
      </c>
      <c r="S50" s="48">
        <f t="shared" ref="S50:S52" si="8">((I50+J50)+(K50+L50))/2*(O50*K50)*R50</f>
        <v>0</v>
      </c>
    </row>
    <row r="51" spans="2:19">
      <c r="B51" s="46">
        <f ca="1">$B$11</f>
        <v>42373</v>
      </c>
      <c r="C51" s="60"/>
      <c r="D51" s="61"/>
      <c r="E51" s="61"/>
      <c r="F51" s="61"/>
      <c r="G51" s="61"/>
      <c r="H51" s="72"/>
      <c r="I51" s="64"/>
      <c r="J51" s="64"/>
      <c r="K51" s="61"/>
      <c r="L51" s="61"/>
      <c r="M51" s="51"/>
      <c r="N51" s="52"/>
      <c r="O51" s="51"/>
      <c r="P51" s="52"/>
      <c r="Q51" s="52"/>
      <c r="R51" s="52">
        <v>3.14</v>
      </c>
      <c r="S51" s="48">
        <f t="shared" si="8"/>
        <v>0</v>
      </c>
    </row>
    <row r="52" spans="2:19" ht="15.75" thickBot="1">
      <c r="B52" s="46">
        <f ca="1">$B$12</f>
        <v>42366</v>
      </c>
      <c r="C52" s="60"/>
      <c r="D52" s="61"/>
      <c r="E52" s="61"/>
      <c r="F52" s="61"/>
      <c r="G52" s="61"/>
      <c r="H52" s="72"/>
      <c r="I52" s="64"/>
      <c r="J52" s="64"/>
      <c r="K52" s="61"/>
      <c r="L52" s="100"/>
      <c r="M52" s="54"/>
      <c r="N52" s="52"/>
      <c r="O52" s="54"/>
      <c r="P52" s="52"/>
      <c r="Q52" s="52"/>
      <c r="R52" s="52">
        <v>0.84</v>
      </c>
      <c r="S52" s="48">
        <f t="shared" si="8"/>
        <v>0</v>
      </c>
    </row>
    <row r="53" spans="2:19">
      <c r="B53" s="70" t="s">
        <v>21</v>
      </c>
      <c r="C53" s="57"/>
      <c r="D53" s="58"/>
      <c r="E53" s="58"/>
      <c r="F53" s="58"/>
      <c r="G53" s="58"/>
      <c r="H53" s="59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9"/>
    </row>
    <row r="54" spans="2:19">
      <c r="B54" s="46">
        <f ca="1">$B$9</f>
        <v>42387</v>
      </c>
      <c r="C54" s="60"/>
      <c r="D54" s="61"/>
      <c r="E54" s="61"/>
      <c r="F54" s="61"/>
      <c r="G54" s="61"/>
      <c r="H54" s="49"/>
      <c r="I54" s="64"/>
      <c r="J54" s="64"/>
      <c r="K54" s="61"/>
      <c r="L54" s="61"/>
      <c r="M54" s="51"/>
      <c r="N54" s="52"/>
      <c r="O54" s="51"/>
      <c r="P54" s="52"/>
      <c r="Q54" s="52"/>
      <c r="R54" s="52">
        <v>0.75</v>
      </c>
      <c r="S54" s="48">
        <f>((I54+J54)+(K54+L54))/2*(O54*K54)*R54</f>
        <v>0</v>
      </c>
    </row>
    <row r="55" spans="2:19">
      <c r="B55" s="46">
        <f ca="1">$B$10</f>
        <v>42380</v>
      </c>
      <c r="C55" s="60"/>
      <c r="D55" s="61"/>
      <c r="E55" s="61"/>
      <c r="F55" s="61"/>
      <c r="G55" s="61"/>
      <c r="H55" s="49"/>
      <c r="I55" s="64"/>
      <c r="J55" s="64"/>
      <c r="K55" s="61"/>
      <c r="L55" s="61"/>
      <c r="M55" s="51"/>
      <c r="N55" s="52"/>
      <c r="O55" s="54"/>
      <c r="P55" s="52"/>
      <c r="Q55" s="52"/>
      <c r="R55" s="52">
        <v>0.52</v>
      </c>
      <c r="S55" s="48">
        <f t="shared" ref="S55:S57" si="9">((I55+J55)+(K55+L55))/2*(O55*K55)*R55</f>
        <v>0</v>
      </c>
    </row>
    <row r="56" spans="2:19">
      <c r="B56" s="46">
        <f ca="1">$B$11</f>
        <v>42373</v>
      </c>
      <c r="C56" s="60"/>
      <c r="D56" s="61"/>
      <c r="E56" s="61"/>
      <c r="F56" s="61"/>
      <c r="G56" s="61"/>
      <c r="H56" s="49"/>
      <c r="I56" s="64"/>
      <c r="J56" s="64"/>
      <c r="K56" s="61"/>
      <c r="L56" s="61"/>
      <c r="M56" s="51"/>
      <c r="N56" s="52"/>
      <c r="O56" s="51"/>
      <c r="P56" s="52"/>
      <c r="Q56" s="52"/>
      <c r="R56" s="52">
        <v>0.68</v>
      </c>
      <c r="S56" s="48">
        <f t="shared" si="9"/>
        <v>0</v>
      </c>
    </row>
    <row r="57" spans="2:19" ht="15.75" thickBot="1">
      <c r="B57" s="46">
        <f ca="1">$B$12</f>
        <v>42366</v>
      </c>
      <c r="C57" s="60"/>
      <c r="D57" s="61"/>
      <c r="E57" s="61"/>
      <c r="F57" s="61"/>
      <c r="G57" s="61"/>
      <c r="H57" s="49"/>
      <c r="I57" s="64"/>
      <c r="J57" s="64"/>
      <c r="K57" s="61"/>
      <c r="L57" s="100"/>
      <c r="M57" s="54"/>
      <c r="N57" s="52"/>
      <c r="O57" s="54"/>
      <c r="P57" s="52"/>
      <c r="Q57" s="52"/>
      <c r="R57" s="52">
        <v>0.6</v>
      </c>
      <c r="S57" s="48">
        <f t="shared" si="9"/>
        <v>0</v>
      </c>
    </row>
    <row r="58" spans="2:19">
      <c r="B58" s="70" t="s">
        <v>72</v>
      </c>
      <c r="C58" s="57"/>
      <c r="D58" s="58"/>
      <c r="E58" s="58"/>
      <c r="F58" s="58"/>
      <c r="G58" s="58"/>
      <c r="H58" s="59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9"/>
    </row>
    <row r="59" spans="2:19">
      <c r="B59" s="46">
        <f ca="1">$B$9</f>
        <v>42387</v>
      </c>
      <c r="C59" s="60"/>
      <c r="D59" s="61"/>
      <c r="E59" s="61"/>
      <c r="F59" s="61"/>
      <c r="G59" s="61"/>
      <c r="H59" s="49"/>
      <c r="I59" s="64"/>
      <c r="J59" s="64"/>
      <c r="K59" s="61"/>
      <c r="L59" s="61"/>
      <c r="M59" s="51"/>
      <c r="N59" s="52"/>
      <c r="O59" s="51"/>
      <c r="P59" s="52"/>
      <c r="Q59" s="52"/>
      <c r="R59" s="52">
        <v>2.4900000000000002</v>
      </c>
      <c r="S59" s="48">
        <f>((I59+J59)+(K59+L59))/2*(O59*K59)*R59</f>
        <v>0</v>
      </c>
    </row>
    <row r="60" spans="2:19">
      <c r="B60" s="46">
        <f ca="1">$B$10</f>
        <v>42380</v>
      </c>
      <c r="C60" s="60"/>
      <c r="D60" s="61"/>
      <c r="E60" s="61"/>
      <c r="F60" s="61"/>
      <c r="G60" s="61"/>
      <c r="H60" s="49"/>
      <c r="I60" s="64"/>
      <c r="J60" s="64"/>
      <c r="K60" s="61"/>
      <c r="L60" s="61"/>
      <c r="M60" s="51"/>
      <c r="N60" s="52"/>
      <c r="O60" s="51"/>
      <c r="P60" s="52"/>
      <c r="Q60" s="52"/>
      <c r="R60" s="52">
        <v>1.5</v>
      </c>
      <c r="S60" s="48">
        <f t="shared" ref="S60:S62" si="10">((I60+J60)+(K60+L60))/2*(O60*K60)*R60</f>
        <v>0</v>
      </c>
    </row>
    <row r="61" spans="2:19">
      <c r="B61" s="46">
        <f ca="1">$B$11</f>
        <v>42373</v>
      </c>
      <c r="C61" s="60"/>
      <c r="D61" s="61"/>
      <c r="E61" s="61"/>
      <c r="F61" s="61"/>
      <c r="G61" s="61"/>
      <c r="H61" s="49"/>
      <c r="I61" s="64"/>
      <c r="J61" s="64"/>
      <c r="K61" s="61"/>
      <c r="L61" s="61"/>
      <c r="M61" s="51"/>
      <c r="N61" s="52"/>
      <c r="O61" s="51"/>
      <c r="P61" s="52"/>
      <c r="Q61" s="52"/>
      <c r="R61" s="52">
        <v>1.72</v>
      </c>
      <c r="S61" s="48">
        <f t="shared" si="10"/>
        <v>0</v>
      </c>
    </row>
    <row r="62" spans="2:19" ht="15.75" thickBot="1">
      <c r="B62" s="46">
        <f ca="1">$B$12</f>
        <v>42366</v>
      </c>
      <c r="C62" s="60"/>
      <c r="D62" s="61"/>
      <c r="E62" s="61"/>
      <c r="F62" s="61"/>
      <c r="G62" s="61"/>
      <c r="H62" s="49"/>
      <c r="I62" s="64"/>
      <c r="J62" s="64"/>
      <c r="K62" s="61"/>
      <c r="L62" s="100"/>
      <c r="M62" s="54"/>
      <c r="N62" s="52"/>
      <c r="O62" s="54"/>
      <c r="P62" s="52"/>
      <c r="Q62" s="52"/>
      <c r="R62" s="52">
        <v>1.74</v>
      </c>
      <c r="S62" s="48">
        <f t="shared" si="10"/>
        <v>0</v>
      </c>
    </row>
    <row r="63" spans="2:19">
      <c r="B63" s="70" t="s">
        <v>22</v>
      </c>
      <c r="C63" s="57"/>
      <c r="D63" s="58"/>
      <c r="E63" s="58"/>
      <c r="F63" s="58"/>
      <c r="G63" s="58"/>
      <c r="H63" s="59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9"/>
    </row>
    <row r="64" spans="2:19">
      <c r="B64" s="46">
        <f ca="1">$B$9</f>
        <v>42387</v>
      </c>
      <c r="C64" s="60"/>
      <c r="D64" s="61"/>
      <c r="E64" s="61"/>
      <c r="F64" s="61"/>
      <c r="G64" s="61"/>
      <c r="H64" s="49"/>
      <c r="I64" s="64"/>
      <c r="J64" s="64"/>
      <c r="K64" s="61"/>
      <c r="L64" s="61"/>
      <c r="M64" s="51"/>
      <c r="N64" s="52"/>
      <c r="O64" s="51"/>
      <c r="P64" s="52"/>
      <c r="Q64" s="52"/>
      <c r="R64" s="52">
        <v>0.69</v>
      </c>
      <c r="S64" s="48">
        <f>((I64+J64)+(K64+L64))/2*(O64*K64)*R64</f>
        <v>0</v>
      </c>
    </row>
    <row r="65" spans="2:19">
      <c r="B65" s="46">
        <f ca="1">$B$10</f>
        <v>42380</v>
      </c>
      <c r="C65" s="60"/>
      <c r="D65" s="61"/>
      <c r="E65" s="61"/>
      <c r="F65" s="61"/>
      <c r="G65" s="61"/>
      <c r="H65" s="49"/>
      <c r="I65" s="64"/>
      <c r="J65" s="64"/>
      <c r="K65" s="61"/>
      <c r="L65" s="61"/>
      <c r="M65" s="51"/>
      <c r="N65" s="52"/>
      <c r="O65" s="51"/>
      <c r="P65" s="52"/>
      <c r="Q65" s="52"/>
      <c r="R65" s="52">
        <v>0.32</v>
      </c>
      <c r="S65" s="48">
        <f t="shared" ref="S65:S67" si="11">((I65+J65)+(K65+L65))/2*(O65*K65)*R65</f>
        <v>0</v>
      </c>
    </row>
    <row r="66" spans="2:19">
      <c r="B66" s="46">
        <f ca="1">$B$11</f>
        <v>42373</v>
      </c>
      <c r="C66" s="60"/>
      <c r="D66" s="61"/>
      <c r="E66" s="61"/>
      <c r="F66" s="61"/>
      <c r="G66" s="61"/>
      <c r="H66" s="49"/>
      <c r="I66" s="64"/>
      <c r="J66" s="64"/>
      <c r="K66" s="61"/>
      <c r="L66" s="61"/>
      <c r="M66" s="51"/>
      <c r="N66" s="52"/>
      <c r="O66" s="51"/>
      <c r="P66" s="52"/>
      <c r="Q66" s="52"/>
      <c r="R66" s="52">
        <v>0.42</v>
      </c>
      <c r="S66" s="48">
        <f t="shared" si="11"/>
        <v>0</v>
      </c>
    </row>
    <row r="67" spans="2:19">
      <c r="B67" s="46">
        <f ca="1">$B$12</f>
        <v>42366</v>
      </c>
      <c r="C67" s="60"/>
      <c r="D67" s="61"/>
      <c r="E67" s="61"/>
      <c r="F67" s="61"/>
      <c r="G67" s="61"/>
      <c r="H67" s="49"/>
      <c r="I67" s="64"/>
      <c r="J67" s="64"/>
      <c r="K67" s="61"/>
      <c r="L67" s="61"/>
      <c r="M67" s="51"/>
      <c r="N67" s="52"/>
      <c r="O67" s="51"/>
      <c r="P67" s="52"/>
      <c r="Q67" s="52"/>
      <c r="R67" s="52">
        <v>0.45</v>
      </c>
      <c r="S67" s="48">
        <f t="shared" si="11"/>
        <v>0</v>
      </c>
    </row>
    <row r="68" spans="2:19" ht="30" customHeight="1"/>
    <row r="69" spans="2:19">
      <c r="B69" s="187" t="s">
        <v>28</v>
      </c>
      <c r="C69" s="188"/>
      <c r="D69" s="189" t="s">
        <v>29</v>
      </c>
      <c r="E69" s="190"/>
      <c r="F69" s="190"/>
      <c r="G69" s="191"/>
      <c r="H69" s="18"/>
      <c r="I69" s="18"/>
      <c r="J69" s="18"/>
    </row>
    <row r="70" spans="2:19">
      <c r="B70" s="187" t="s">
        <v>30</v>
      </c>
      <c r="C70" s="188"/>
      <c r="D70" s="189" t="s">
        <v>31</v>
      </c>
      <c r="E70" s="190"/>
      <c r="F70" s="190"/>
      <c r="G70" s="191"/>
      <c r="H70" s="18"/>
      <c r="I70" s="18"/>
      <c r="J70" s="18"/>
    </row>
    <row r="72" spans="2:19" ht="15.75" thickBot="1"/>
    <row r="73" spans="2:19" s="19" customFormat="1" ht="27.75" customHeight="1">
      <c r="B73" s="196" t="s">
        <v>28</v>
      </c>
      <c r="C73" s="197"/>
      <c r="D73" s="203" t="s">
        <v>32</v>
      </c>
      <c r="E73" s="206"/>
      <c r="F73" s="227" t="s">
        <v>33</v>
      </c>
      <c r="G73" s="228"/>
      <c r="H73" s="228"/>
      <c r="I73" s="228"/>
      <c r="J73" s="228"/>
      <c r="K73" s="228"/>
      <c r="L73" s="228"/>
      <c r="M73" s="228"/>
      <c r="N73" s="228"/>
      <c r="O73" s="228"/>
      <c r="P73" s="228"/>
      <c r="Q73" s="229"/>
      <c r="R73" s="229"/>
      <c r="S73" s="230"/>
    </row>
    <row r="74" spans="2:19" s="19" customFormat="1" ht="27.75" customHeight="1">
      <c r="B74" s="198"/>
      <c r="C74" s="199"/>
      <c r="D74" s="205" t="s">
        <v>5</v>
      </c>
      <c r="E74" s="207"/>
      <c r="F74" s="213" t="s">
        <v>34</v>
      </c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5"/>
      <c r="R74" s="215"/>
      <c r="S74" s="216"/>
    </row>
    <row r="75" spans="2:19" s="19" customFormat="1" ht="27.75" customHeight="1">
      <c r="B75" s="198"/>
      <c r="C75" s="199"/>
      <c r="D75" s="205" t="s">
        <v>6</v>
      </c>
      <c r="E75" s="207"/>
      <c r="F75" s="213" t="s">
        <v>35</v>
      </c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5"/>
      <c r="R75" s="215"/>
      <c r="S75" s="216"/>
    </row>
    <row r="76" spans="2:19" s="19" customFormat="1" ht="27.75" customHeight="1">
      <c r="B76" s="198"/>
      <c r="C76" s="199"/>
      <c r="D76" s="205" t="s">
        <v>36</v>
      </c>
      <c r="E76" s="207"/>
      <c r="F76" s="213" t="s">
        <v>37</v>
      </c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5"/>
      <c r="R76" s="215"/>
      <c r="S76" s="216"/>
    </row>
    <row r="77" spans="2:19" s="19" customFormat="1" ht="27.75" customHeight="1">
      <c r="B77" s="198"/>
      <c r="C77" s="199"/>
      <c r="D77" s="205" t="s">
        <v>38</v>
      </c>
      <c r="E77" s="207"/>
      <c r="F77" s="213" t="s">
        <v>39</v>
      </c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5"/>
      <c r="R77" s="215"/>
      <c r="S77" s="216"/>
    </row>
    <row r="78" spans="2:19" s="19" customFormat="1" ht="27.75" customHeight="1" thickBot="1">
      <c r="B78" s="200"/>
      <c r="C78" s="201"/>
      <c r="D78" s="194" t="s">
        <v>9</v>
      </c>
      <c r="E78" s="195"/>
      <c r="F78" s="231" t="s">
        <v>40</v>
      </c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3"/>
      <c r="R78" s="233"/>
      <c r="S78" s="234"/>
    </row>
    <row r="79" spans="2:19" s="19" customFormat="1" ht="27.75" customHeight="1">
      <c r="B79" s="196" t="s">
        <v>30</v>
      </c>
      <c r="C79" s="197"/>
      <c r="D79" s="202" t="s">
        <v>10</v>
      </c>
      <c r="E79" s="203"/>
      <c r="F79" s="227" t="s">
        <v>41</v>
      </c>
      <c r="G79" s="228"/>
      <c r="H79" s="228"/>
      <c r="I79" s="228"/>
      <c r="J79" s="228"/>
      <c r="K79" s="228"/>
      <c r="L79" s="228"/>
      <c r="M79" s="228"/>
      <c r="N79" s="228"/>
      <c r="O79" s="228"/>
      <c r="P79" s="228"/>
      <c r="Q79" s="229"/>
      <c r="R79" s="229"/>
      <c r="S79" s="230"/>
    </row>
    <row r="80" spans="2:19" s="19" customFormat="1" ht="27.75" customHeight="1">
      <c r="B80" s="198"/>
      <c r="C80" s="199"/>
      <c r="D80" s="204" t="s">
        <v>11</v>
      </c>
      <c r="E80" s="205"/>
      <c r="F80" s="213" t="s">
        <v>42</v>
      </c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5"/>
      <c r="R80" s="215"/>
      <c r="S80" s="216"/>
    </row>
    <row r="81" spans="2:19" s="19" customFormat="1" ht="27.75" customHeight="1">
      <c r="B81" s="198"/>
      <c r="C81" s="199"/>
      <c r="D81" s="204" t="s">
        <v>12</v>
      </c>
      <c r="E81" s="205"/>
      <c r="F81" s="213" t="s">
        <v>43</v>
      </c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5"/>
      <c r="R81" s="215"/>
      <c r="S81" s="216"/>
    </row>
    <row r="82" spans="2:19" s="19" customFormat="1" ht="27.75" customHeight="1">
      <c r="B82" s="198"/>
      <c r="C82" s="199"/>
      <c r="D82" s="204" t="s">
        <v>13</v>
      </c>
      <c r="E82" s="205"/>
      <c r="F82" s="213" t="s">
        <v>44</v>
      </c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5"/>
      <c r="R82" s="215"/>
      <c r="S82" s="216"/>
    </row>
    <row r="83" spans="2:19" s="19" customFormat="1" ht="27.75" customHeight="1">
      <c r="B83" s="198"/>
      <c r="C83" s="199"/>
      <c r="D83" s="204" t="s">
        <v>45</v>
      </c>
      <c r="E83" s="205"/>
      <c r="F83" s="213" t="s">
        <v>46</v>
      </c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5"/>
      <c r="R83" s="215"/>
      <c r="S83" s="216"/>
    </row>
    <row r="84" spans="2:19" s="19" customFormat="1" ht="27.75" customHeight="1">
      <c r="B84" s="198"/>
      <c r="C84" s="199"/>
      <c r="D84" s="204" t="s">
        <v>47</v>
      </c>
      <c r="E84" s="205"/>
      <c r="F84" s="213" t="s">
        <v>48</v>
      </c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5"/>
      <c r="R84" s="215"/>
      <c r="S84" s="216"/>
    </row>
    <row r="85" spans="2:19" s="19" customFormat="1" ht="41.25" customHeight="1">
      <c r="B85" s="198"/>
      <c r="C85" s="199"/>
      <c r="D85" s="204" t="s">
        <v>15</v>
      </c>
      <c r="E85" s="205"/>
      <c r="F85" s="213" t="s">
        <v>49</v>
      </c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5"/>
      <c r="R85" s="215"/>
      <c r="S85" s="216"/>
    </row>
    <row r="86" spans="2:19" s="19" customFormat="1" ht="27.75" customHeight="1" thickBot="1">
      <c r="B86" s="200"/>
      <c r="C86" s="201"/>
      <c r="D86" s="208" t="s">
        <v>16</v>
      </c>
      <c r="E86" s="194"/>
      <c r="F86" s="217" t="s">
        <v>50</v>
      </c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9"/>
      <c r="R86" s="219"/>
      <c r="S86" s="220"/>
    </row>
    <row r="87" spans="2:19" s="19" customFormat="1" ht="25.5" customHeight="1" thickBot="1"/>
    <row r="88" spans="2:19" ht="39.75" customHeight="1" thickBot="1">
      <c r="B88" s="179" t="s">
        <v>51</v>
      </c>
      <c r="C88" s="180"/>
      <c r="D88" s="180"/>
      <c r="E88" s="180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20"/>
      <c r="R88" s="20"/>
    </row>
    <row r="89" spans="2:19" ht="29.2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</row>
    <row r="90" spans="2:19" ht="17.25" customHeight="1" thickBot="1"/>
    <row r="91" spans="2:19" ht="18" thickBot="1">
      <c r="C91" s="21" t="s">
        <v>52</v>
      </c>
      <c r="D91" s="37" t="s">
        <v>53</v>
      </c>
      <c r="E91" s="38"/>
      <c r="F91" s="22"/>
      <c r="G91" s="36" t="s">
        <v>54</v>
      </c>
      <c r="H91" s="22"/>
      <c r="I91" s="39" t="b">
        <f>IF(B2="Tripda Report - Daily","Rank on " &amp;  TEXT(B11,"dd/mm"))</f>
        <v>0</v>
      </c>
      <c r="J91" s="94"/>
      <c r="K91" s="40"/>
      <c r="L91" s="94"/>
      <c r="M91" s="36" t="b">
        <f>IF(B2="Tripda Report - Daily","Rank on " &amp;  TEXT(B12,"dd/mm"))</f>
        <v>0</v>
      </c>
      <c r="N91" s="41"/>
    </row>
    <row r="92" spans="2:19" ht="17.25">
      <c r="C92" s="23" t="s">
        <v>55</v>
      </c>
      <c r="D92" s="251" t="str">
        <f t="shared" ref="D92:D102" si="12">VLOOKUP(G92,$F$108:$N$118,$F$120,0)</f>
        <v>Argentina + Uruguay</v>
      </c>
      <c r="E92" s="252"/>
      <c r="F92" s="253"/>
      <c r="G92" s="243">
        <f>VLOOKUP(1,$E$108:$F$118,2,0)</f>
        <v>0.11</v>
      </c>
      <c r="H92" s="244"/>
      <c r="I92" s="221">
        <f>VLOOKUP(D92,[1]Teste!$N$47:$Q$57,4,0)</f>
        <v>8</v>
      </c>
      <c r="J92" s="237"/>
      <c r="K92" s="238"/>
      <c r="L92" s="101"/>
      <c r="M92" s="221">
        <f>VLOOKUP(D92,[1]Teste!$N$47:$S$57,6,0)</f>
        <v>1</v>
      </c>
      <c r="N92" s="222"/>
    </row>
    <row r="93" spans="2:19" ht="17.25">
      <c r="C93" s="24" t="s">
        <v>56</v>
      </c>
      <c r="D93" s="254" t="str">
        <f t="shared" si="12"/>
        <v>Brasil</v>
      </c>
      <c r="E93" s="255"/>
      <c r="F93" s="256"/>
      <c r="G93" s="245">
        <f>VLOOKUP(2,$E$108:$F$118,2,0)</f>
        <v>0.1</v>
      </c>
      <c r="H93" s="246"/>
      <c r="I93" s="223" t="e">
        <f>VLOOKUP(D93,[1]Teste!$N$47:$Q$57,4,0)</f>
        <v>#N/A</v>
      </c>
      <c r="J93" s="239"/>
      <c r="K93" s="240"/>
      <c r="L93" s="102"/>
      <c r="M93" s="223" t="e">
        <f>VLOOKUP(D93,[1]Teste!$N$47:$S$57,6,0)</f>
        <v>#N/A</v>
      </c>
      <c r="N93" s="224"/>
    </row>
    <row r="94" spans="2:19" ht="17.25">
      <c r="C94" s="25" t="s">
        <v>57</v>
      </c>
      <c r="D94" s="257" t="str">
        <f t="shared" si="12"/>
        <v>Chile</v>
      </c>
      <c r="E94" s="258"/>
      <c r="F94" s="259"/>
      <c r="G94" s="192">
        <f>VLOOKUP(3,$E$108:$F$118,2,0)</f>
        <v>0.09</v>
      </c>
      <c r="H94" s="193"/>
      <c r="I94" s="223">
        <f>VLOOKUP(D94,[1]Teste!$N$47:$Q$57,4,0)</f>
        <v>2</v>
      </c>
      <c r="J94" s="239"/>
      <c r="K94" s="240"/>
      <c r="L94" s="102"/>
      <c r="M94" s="223">
        <f>VLOOKUP(D94,[1]Teste!$N$47:$S$57,6,0)</f>
        <v>1</v>
      </c>
      <c r="N94" s="224"/>
      <c r="P94" s="26"/>
      <c r="Q94" s="26"/>
      <c r="R94" s="26"/>
    </row>
    <row r="95" spans="2:19" ht="17.25">
      <c r="C95" s="27" t="s">
        <v>58</v>
      </c>
      <c r="D95" s="260" t="str">
        <f t="shared" si="12"/>
        <v>Colombia</v>
      </c>
      <c r="E95" s="261"/>
      <c r="F95" s="262"/>
      <c r="G95" s="209">
        <f>VLOOKUP(4,$E$108:$F$118,2,0)</f>
        <v>0.08</v>
      </c>
      <c r="H95" s="210"/>
      <c r="I95" s="223">
        <f>VLOOKUP(D95,[1]Teste!$N$47:$Q$57,4,0)</f>
        <v>5</v>
      </c>
      <c r="J95" s="239"/>
      <c r="K95" s="240"/>
      <c r="L95" s="102"/>
      <c r="M95" s="223">
        <f>VLOOKUP(D95,[1]Teste!$N$47:$S$57,6,0)</f>
        <v>1</v>
      </c>
      <c r="N95" s="224"/>
    </row>
    <row r="96" spans="2:19" ht="17.25">
      <c r="C96" s="27" t="s">
        <v>59</v>
      </c>
      <c r="D96" s="260" t="str">
        <f t="shared" si="12"/>
        <v>India</v>
      </c>
      <c r="E96" s="261"/>
      <c r="F96" s="262"/>
      <c r="G96" s="209">
        <f>VLOOKUP(5,$E$108:$F$118,2,0)</f>
        <v>7.0000000000000007E-2</v>
      </c>
      <c r="H96" s="210"/>
      <c r="I96" s="223">
        <f>VLOOKUP(D96,[1]Teste!$N$47:$Q$57,4,0)</f>
        <v>4</v>
      </c>
      <c r="J96" s="239"/>
      <c r="K96" s="240"/>
      <c r="L96" s="102"/>
      <c r="M96" s="223">
        <f>VLOOKUP(D96,[1]Teste!$N$47:$S$57,6,0)</f>
        <v>1</v>
      </c>
      <c r="N96" s="224"/>
    </row>
    <row r="97" spans="3:14" ht="17.25">
      <c r="C97" s="27" t="s">
        <v>60</v>
      </c>
      <c r="D97" s="260" t="str">
        <f t="shared" si="12"/>
        <v>Malaysia + Singapore</v>
      </c>
      <c r="E97" s="261"/>
      <c r="F97" s="262"/>
      <c r="G97" s="209">
        <f>VLOOKUP(6,$E$108:$F$118,2,0)</f>
        <v>0.06</v>
      </c>
      <c r="H97" s="210"/>
      <c r="I97" s="223">
        <f>VLOOKUP(D97,[1]Teste!$N$47:$Q$57,4,0)</f>
        <v>3</v>
      </c>
      <c r="J97" s="239"/>
      <c r="K97" s="240"/>
      <c r="L97" s="102"/>
      <c r="M97" s="223">
        <f>VLOOKUP(D97,[1]Teste!$N$47:$S$57,6,0)</f>
        <v>1</v>
      </c>
      <c r="N97" s="224"/>
    </row>
    <row r="98" spans="3:14" ht="17.25">
      <c r="C98" s="27" t="s">
        <v>61</v>
      </c>
      <c r="D98" s="260" t="str">
        <f t="shared" si="12"/>
        <v>Mexico</v>
      </c>
      <c r="E98" s="261"/>
      <c r="F98" s="262"/>
      <c r="G98" s="209">
        <f>VLOOKUP(7,$E$108:$F$118,2,0)</f>
        <v>0.05</v>
      </c>
      <c r="H98" s="210"/>
      <c r="I98" s="223">
        <f>VLOOKUP(D98,[1]Teste!$N$47:$Q$57,4,0)</f>
        <v>6</v>
      </c>
      <c r="J98" s="239"/>
      <c r="K98" s="240"/>
      <c r="L98" s="102"/>
      <c r="M98" s="223">
        <f>VLOOKUP(D98,[1]Teste!$N$47:$S$57,6,0)</f>
        <v>1</v>
      </c>
      <c r="N98" s="224"/>
    </row>
    <row r="99" spans="3:14" ht="17.25">
      <c r="C99" s="27" t="s">
        <v>62</v>
      </c>
      <c r="D99" s="260" t="str">
        <f t="shared" si="12"/>
        <v>Pakistan</v>
      </c>
      <c r="E99" s="261"/>
      <c r="F99" s="262"/>
      <c r="G99" s="209">
        <f>VLOOKUP(8,$E$108:$F$118,2,0)</f>
        <v>0.04</v>
      </c>
      <c r="H99" s="210"/>
      <c r="I99" s="223">
        <f>VLOOKUP(D99,[1]Teste!$N$47:$Q$57,4,0)</f>
        <v>11</v>
      </c>
      <c r="J99" s="239"/>
      <c r="K99" s="240"/>
      <c r="L99" s="102"/>
      <c r="M99" s="223">
        <f>VLOOKUP(D99,[1]Teste!$N$47:$S$57,6,0)</f>
        <v>1</v>
      </c>
      <c r="N99" s="224"/>
    </row>
    <row r="100" spans="3:14" ht="17.25">
      <c r="C100" s="28" t="s">
        <v>63</v>
      </c>
      <c r="D100" s="263" t="str">
        <f t="shared" si="12"/>
        <v>Philippines</v>
      </c>
      <c r="E100" s="264"/>
      <c r="F100" s="265"/>
      <c r="G100" s="211">
        <f>VLOOKUP(9,$E$108:$F$118,2,0)</f>
        <v>0.03</v>
      </c>
      <c r="H100" s="212"/>
      <c r="I100" s="223">
        <f>VLOOKUP(D100,[1]Teste!$N$47:$Q$57,4,0)</f>
        <v>9</v>
      </c>
      <c r="J100" s="239"/>
      <c r="K100" s="240"/>
      <c r="L100" s="102"/>
      <c r="M100" s="223">
        <f>VLOOKUP(D100,[1]Teste!$N$47:$S$57,6,0)</f>
        <v>1</v>
      </c>
      <c r="N100" s="224"/>
    </row>
    <row r="101" spans="3:14" ht="17.25">
      <c r="C101" s="28" t="s">
        <v>64</v>
      </c>
      <c r="D101" s="263" t="str">
        <f t="shared" si="12"/>
        <v>Taiwan</v>
      </c>
      <c r="E101" s="264"/>
      <c r="F101" s="265"/>
      <c r="G101" s="211">
        <f>VLOOKUP(10,$E$108:$F$118,2,0)</f>
        <v>0.02</v>
      </c>
      <c r="H101" s="212"/>
      <c r="I101" s="223">
        <f>VLOOKUP(D101,[1]Teste!$N$47:$Q$57,4,0)</f>
        <v>10</v>
      </c>
      <c r="J101" s="239"/>
      <c r="K101" s="240"/>
      <c r="L101" s="102"/>
      <c r="M101" s="223">
        <f>VLOOKUP(D101,[1]Teste!$N$47:$S$57,6,0)</f>
        <v>1</v>
      </c>
      <c r="N101" s="224"/>
    </row>
    <row r="102" spans="3:14" ht="18" thickBot="1">
      <c r="C102" s="29" t="s">
        <v>65</v>
      </c>
      <c r="D102" s="266" t="str">
        <f t="shared" si="12"/>
        <v>United States</v>
      </c>
      <c r="E102" s="267"/>
      <c r="F102" s="268"/>
      <c r="G102" s="235">
        <f>VLOOKUP(11,$E$108:$F$118,2,0)</f>
        <v>0.01</v>
      </c>
      <c r="H102" s="236"/>
      <c r="I102" s="225">
        <f>VLOOKUP(D102,[1]Teste!$N$47:$Q$57,4,0)</f>
        <v>7</v>
      </c>
      <c r="J102" s="241"/>
      <c r="K102" s="242"/>
      <c r="L102" s="103"/>
      <c r="M102" s="225">
        <f>VLOOKUP(D102,[1]Teste!$N$47:$S$57,6,0)</f>
        <v>1</v>
      </c>
      <c r="N102" s="226"/>
    </row>
    <row r="106" spans="3:14" ht="15.75" thickBot="1"/>
    <row r="107" spans="3:14" ht="15.75" thickBot="1">
      <c r="C107" s="271" t="s">
        <v>17</v>
      </c>
      <c r="D107" s="272"/>
      <c r="E107" s="73" t="s">
        <v>66</v>
      </c>
      <c r="F107" s="74" t="s">
        <v>67</v>
      </c>
      <c r="G107" s="75" t="s">
        <v>68</v>
      </c>
      <c r="H107" s="75" t="s">
        <v>69</v>
      </c>
      <c r="I107" s="75" t="s">
        <v>70</v>
      </c>
      <c r="J107" s="75"/>
      <c r="K107" s="76" t="s">
        <v>71</v>
      </c>
      <c r="L107" s="104"/>
    </row>
    <row r="108" spans="3:14">
      <c r="C108" s="269" t="s">
        <v>25</v>
      </c>
      <c r="D108" s="270"/>
      <c r="E108" s="77">
        <f>RANK(F108,$F$108:$F$118)</f>
        <v>11</v>
      </c>
      <c r="F108" s="108">
        <f>S14 + 0.01</f>
        <v>0.01</v>
      </c>
      <c r="G108" s="30" t="e">
        <f>RANK(H108,$U$57:$U$69)</f>
        <v>#REF!</v>
      </c>
      <c r="H108" s="30" t="e">
        <f>#REF!</f>
        <v>#REF!</v>
      </c>
      <c r="I108" s="30" t="e">
        <f t="shared" ref="I108:I118" si="13">RANK(K108,$W$57:$W$69)</f>
        <v>#REF!</v>
      </c>
      <c r="J108" s="95"/>
      <c r="K108" s="31" t="e">
        <f>#REF!</f>
        <v>#REF!</v>
      </c>
      <c r="L108" s="105"/>
      <c r="M108" s="269" t="s">
        <v>25</v>
      </c>
      <c r="N108" s="270"/>
    </row>
    <row r="109" spans="3:14">
      <c r="C109" s="269" t="s">
        <v>24</v>
      </c>
      <c r="D109" s="270"/>
      <c r="E109" s="78">
        <f>RANK(F109,$F$108:$F$118)</f>
        <v>10</v>
      </c>
      <c r="F109" s="109">
        <f>S19 + 0.02</f>
        <v>0.02</v>
      </c>
      <c r="G109" s="32" t="e">
        <f t="shared" ref="G109:G118" si="14">RANK(H109,$U$57:$U$69)</f>
        <v>#REF!</v>
      </c>
      <c r="H109" s="32" t="e">
        <f>#REF!</f>
        <v>#REF!</v>
      </c>
      <c r="I109" s="32" t="e">
        <f t="shared" si="13"/>
        <v>#REF!</v>
      </c>
      <c r="J109" s="96"/>
      <c r="K109" s="33" t="e">
        <f>#REF!</f>
        <v>#REF!</v>
      </c>
      <c r="L109" s="106"/>
      <c r="M109" s="269" t="s">
        <v>24</v>
      </c>
      <c r="N109" s="270"/>
    </row>
    <row r="110" spans="3:14">
      <c r="C110" s="269" t="s">
        <v>23</v>
      </c>
      <c r="D110" s="270"/>
      <c r="E110" s="78">
        <f t="shared" ref="E110:E118" si="15">RANK(F110,$F$108:$F$118)</f>
        <v>9</v>
      </c>
      <c r="F110" s="109">
        <f>S24 + 0.03</f>
        <v>0.03</v>
      </c>
      <c r="G110" s="32" t="e">
        <f t="shared" si="14"/>
        <v>#REF!</v>
      </c>
      <c r="H110" s="32" t="e">
        <f>#REF!</f>
        <v>#REF!</v>
      </c>
      <c r="I110" s="32" t="e">
        <f t="shared" si="13"/>
        <v>#REF!</v>
      </c>
      <c r="J110" s="96"/>
      <c r="K110" s="33" t="e">
        <f>#REF!</f>
        <v>#REF!</v>
      </c>
      <c r="L110" s="106"/>
      <c r="M110" s="269" t="s">
        <v>23</v>
      </c>
      <c r="N110" s="270"/>
    </row>
    <row r="111" spans="3:14">
      <c r="C111" s="269" t="s">
        <v>27</v>
      </c>
      <c r="D111" s="270"/>
      <c r="E111" s="78">
        <f t="shared" si="15"/>
        <v>8</v>
      </c>
      <c r="F111" s="109">
        <f>S29 + 0.04</f>
        <v>0.04</v>
      </c>
      <c r="G111" s="32" t="e">
        <f t="shared" si="14"/>
        <v>#REF!</v>
      </c>
      <c r="H111" s="32" t="e">
        <f>#REF! +#REF!</f>
        <v>#REF!</v>
      </c>
      <c r="I111" s="32" t="e">
        <f t="shared" si="13"/>
        <v>#REF!</v>
      </c>
      <c r="J111" s="96"/>
      <c r="K111" s="33" t="e">
        <f>#REF! +#REF!</f>
        <v>#REF!</v>
      </c>
      <c r="L111" s="106"/>
      <c r="M111" s="269" t="s">
        <v>27</v>
      </c>
      <c r="N111" s="270"/>
    </row>
    <row r="112" spans="3:14">
      <c r="C112" s="247" t="s">
        <v>19</v>
      </c>
      <c r="D112" s="248"/>
      <c r="E112" s="78">
        <f t="shared" si="15"/>
        <v>7</v>
      </c>
      <c r="F112" s="109">
        <f>S34 + 0.05</f>
        <v>0.05</v>
      </c>
      <c r="G112" s="32" t="e">
        <f t="shared" si="14"/>
        <v>#REF!</v>
      </c>
      <c r="H112" s="32" t="e">
        <f>#REF!</f>
        <v>#REF!</v>
      </c>
      <c r="I112" s="32" t="e">
        <f t="shared" si="13"/>
        <v>#REF!</v>
      </c>
      <c r="J112" s="96"/>
      <c r="K112" s="33" t="e">
        <f>#REF!</f>
        <v>#REF!</v>
      </c>
      <c r="L112" s="106"/>
      <c r="M112" s="247" t="s">
        <v>19</v>
      </c>
      <c r="N112" s="248"/>
    </row>
    <row r="113" spans="3:14">
      <c r="C113" s="269" t="s">
        <v>20</v>
      </c>
      <c r="D113" s="270"/>
      <c r="E113" s="78">
        <f t="shared" si="15"/>
        <v>6</v>
      </c>
      <c r="F113" s="109">
        <f>S39 + 0.06</f>
        <v>0.06</v>
      </c>
      <c r="G113" s="32" t="e">
        <f t="shared" si="14"/>
        <v>#REF!</v>
      </c>
      <c r="H113" s="32" t="e">
        <f>#REF!+#REF!</f>
        <v>#REF!</v>
      </c>
      <c r="I113" s="32" t="e">
        <f t="shared" si="13"/>
        <v>#REF!</v>
      </c>
      <c r="J113" s="96"/>
      <c r="K113" s="33" t="e">
        <f>#REF!+#REF!</f>
        <v>#REF!</v>
      </c>
      <c r="L113" s="106"/>
      <c r="M113" s="269" t="s">
        <v>20</v>
      </c>
      <c r="N113" s="270"/>
    </row>
    <row r="114" spans="3:14">
      <c r="C114" s="269" t="s">
        <v>26</v>
      </c>
      <c r="D114" s="270"/>
      <c r="E114" s="78">
        <f t="shared" si="15"/>
        <v>5</v>
      </c>
      <c r="F114" s="109">
        <f>S44 + 0.07</f>
        <v>7.0000000000000007E-2</v>
      </c>
      <c r="G114" s="32" t="e">
        <f t="shared" si="14"/>
        <v>#REF!</v>
      </c>
      <c r="H114" s="32" t="e">
        <f>#REF!</f>
        <v>#REF!</v>
      </c>
      <c r="I114" s="32" t="e">
        <f t="shared" si="13"/>
        <v>#REF!</v>
      </c>
      <c r="J114" s="96"/>
      <c r="K114" s="33" t="e">
        <f>#REF!</f>
        <v>#REF!</v>
      </c>
      <c r="L114" s="106"/>
      <c r="M114" s="269" t="s">
        <v>26</v>
      </c>
      <c r="N114" s="270"/>
    </row>
    <row r="115" spans="3:14">
      <c r="C115" s="247" t="s">
        <v>18</v>
      </c>
      <c r="D115" s="248"/>
      <c r="E115" s="78">
        <f t="shared" si="15"/>
        <v>4</v>
      </c>
      <c r="F115" s="109">
        <f>S49 + 0.08</f>
        <v>0.08</v>
      </c>
      <c r="G115" s="32" t="e">
        <f t="shared" si="14"/>
        <v>#REF!</v>
      </c>
      <c r="H115" s="32" t="e">
        <f>#REF!</f>
        <v>#REF!</v>
      </c>
      <c r="I115" s="32" t="e">
        <f t="shared" si="13"/>
        <v>#REF!</v>
      </c>
      <c r="J115" s="96"/>
      <c r="K115" s="33" t="e">
        <f>#REF!</f>
        <v>#REF!</v>
      </c>
      <c r="L115" s="106"/>
      <c r="M115" s="247" t="s">
        <v>18</v>
      </c>
      <c r="N115" s="248"/>
    </row>
    <row r="116" spans="3:14">
      <c r="C116" s="269" t="s">
        <v>21</v>
      </c>
      <c r="D116" s="270"/>
      <c r="E116" s="78">
        <f t="shared" si="15"/>
        <v>3</v>
      </c>
      <c r="F116" s="109">
        <f>S54 + 0.09</f>
        <v>0.09</v>
      </c>
      <c r="G116" s="32" t="e">
        <f t="shared" si="14"/>
        <v>#REF!</v>
      </c>
      <c r="H116" s="32" t="e">
        <f>#REF!</f>
        <v>#REF!</v>
      </c>
      <c r="I116" s="32" t="e">
        <f t="shared" si="13"/>
        <v>#REF!</v>
      </c>
      <c r="J116" s="96"/>
      <c r="K116" s="33" t="e">
        <f>#REF!</f>
        <v>#REF!</v>
      </c>
      <c r="L116" s="106"/>
      <c r="M116" s="269" t="s">
        <v>21</v>
      </c>
      <c r="N116" s="270"/>
    </row>
    <row r="117" spans="3:14">
      <c r="C117" s="247" t="s">
        <v>72</v>
      </c>
      <c r="D117" s="248"/>
      <c r="E117" s="78">
        <f t="shared" si="15"/>
        <v>2</v>
      </c>
      <c r="F117" s="109">
        <f>S59 + 0.1</f>
        <v>0.1</v>
      </c>
      <c r="G117" s="32" t="e">
        <f t="shared" si="14"/>
        <v>#REF!</v>
      </c>
      <c r="H117" s="32" t="e">
        <f>#REF!</f>
        <v>#REF!</v>
      </c>
      <c r="I117" s="32" t="e">
        <f t="shared" si="13"/>
        <v>#REF!</v>
      </c>
      <c r="J117" s="96"/>
      <c r="K117" s="33" t="e">
        <f>#REF!</f>
        <v>#REF!</v>
      </c>
      <c r="L117" s="106"/>
      <c r="M117" s="247" t="s">
        <v>72</v>
      </c>
      <c r="N117" s="248"/>
    </row>
    <row r="118" spans="3:14" ht="15.75" thickBot="1">
      <c r="C118" s="249" t="s">
        <v>22</v>
      </c>
      <c r="D118" s="250"/>
      <c r="E118" s="79">
        <f t="shared" si="15"/>
        <v>1</v>
      </c>
      <c r="F118" s="110">
        <f>S64 + 0.11</f>
        <v>0.11</v>
      </c>
      <c r="G118" s="34" t="e">
        <f t="shared" si="14"/>
        <v>#REF!</v>
      </c>
      <c r="H118" s="34" t="e">
        <f>#REF!</f>
        <v>#REF!</v>
      </c>
      <c r="I118" s="34" t="e">
        <f t="shared" si="13"/>
        <v>#REF!</v>
      </c>
      <c r="J118" s="97"/>
      <c r="K118" s="35" t="e">
        <f>#REF!</f>
        <v>#REF!</v>
      </c>
      <c r="L118" s="107"/>
      <c r="M118" s="249" t="s">
        <v>22</v>
      </c>
      <c r="N118" s="250"/>
    </row>
    <row r="120" spans="3:14">
      <c r="F120">
        <f>G120+H120</f>
        <v>8</v>
      </c>
      <c r="G120">
        <f>COUNTA(F118:M118)</f>
        <v>6</v>
      </c>
      <c r="H120">
        <f>COUNTBLANK(F118:M118)</f>
        <v>2</v>
      </c>
    </row>
  </sheetData>
  <mergeCells count="105">
    <mergeCell ref="D78:E78"/>
    <mergeCell ref="F78:S78"/>
    <mergeCell ref="D81:E81"/>
    <mergeCell ref="F81:S81"/>
    <mergeCell ref="D93:F93"/>
    <mergeCell ref="G93:H93"/>
    <mergeCell ref="I93:K93"/>
    <mergeCell ref="M93:N93"/>
    <mergeCell ref="B2:S2"/>
    <mergeCell ref="C6:H6"/>
    <mergeCell ref="I6:S6"/>
    <mergeCell ref="B69:C69"/>
    <mergeCell ref="D69:G69"/>
    <mergeCell ref="B70:C70"/>
    <mergeCell ref="D70:G70"/>
    <mergeCell ref="B73:C78"/>
    <mergeCell ref="D73:E73"/>
    <mergeCell ref="F73:S73"/>
    <mergeCell ref="D74:E74"/>
    <mergeCell ref="F74:S74"/>
    <mergeCell ref="D75:E75"/>
    <mergeCell ref="F75:S75"/>
    <mergeCell ref="D76:E76"/>
    <mergeCell ref="F76:S76"/>
    <mergeCell ref="D77:E77"/>
    <mergeCell ref="F77:S77"/>
    <mergeCell ref="D94:F94"/>
    <mergeCell ref="G94:H94"/>
    <mergeCell ref="I94:K94"/>
    <mergeCell ref="M94:N94"/>
    <mergeCell ref="D85:E85"/>
    <mergeCell ref="F85:S85"/>
    <mergeCell ref="D86:E86"/>
    <mergeCell ref="F86:S86"/>
    <mergeCell ref="B88:P88"/>
    <mergeCell ref="D92:F92"/>
    <mergeCell ref="G92:H92"/>
    <mergeCell ref="I92:K92"/>
    <mergeCell ref="M92:N92"/>
    <mergeCell ref="B79:C86"/>
    <mergeCell ref="D82:E82"/>
    <mergeCell ref="F82:S82"/>
    <mergeCell ref="D83:E83"/>
    <mergeCell ref="F83:S83"/>
    <mergeCell ref="D84:E84"/>
    <mergeCell ref="F84:S84"/>
    <mergeCell ref="D79:E79"/>
    <mergeCell ref="F79:S79"/>
    <mergeCell ref="D80:E80"/>
    <mergeCell ref="F80:S80"/>
    <mergeCell ref="D97:F97"/>
    <mergeCell ref="G97:H97"/>
    <mergeCell ref="I97:K97"/>
    <mergeCell ref="M97:N97"/>
    <mergeCell ref="D98:F98"/>
    <mergeCell ref="G98:H98"/>
    <mergeCell ref="I98:K98"/>
    <mergeCell ref="M98:N98"/>
    <mergeCell ref="D95:F95"/>
    <mergeCell ref="G95:H95"/>
    <mergeCell ref="I95:K95"/>
    <mergeCell ref="M95:N95"/>
    <mergeCell ref="D96:F96"/>
    <mergeCell ref="G96:H96"/>
    <mergeCell ref="I96:K96"/>
    <mergeCell ref="M96:N96"/>
    <mergeCell ref="D101:F101"/>
    <mergeCell ref="G101:H101"/>
    <mergeCell ref="I101:K101"/>
    <mergeCell ref="M101:N101"/>
    <mergeCell ref="D102:F102"/>
    <mergeCell ref="G102:H102"/>
    <mergeCell ref="I102:K102"/>
    <mergeCell ref="M102:N102"/>
    <mergeCell ref="D99:F99"/>
    <mergeCell ref="G99:H99"/>
    <mergeCell ref="I99:K99"/>
    <mergeCell ref="M99:N99"/>
    <mergeCell ref="D100:F100"/>
    <mergeCell ref="G100:H100"/>
    <mergeCell ref="I100:K100"/>
    <mergeCell ref="M100:N100"/>
    <mergeCell ref="C111:D111"/>
    <mergeCell ref="M111:N111"/>
    <mergeCell ref="C112:D112"/>
    <mergeCell ref="M112:N112"/>
    <mergeCell ref="C113:D113"/>
    <mergeCell ref="M113:N113"/>
    <mergeCell ref="C107:D107"/>
    <mergeCell ref="C108:D108"/>
    <mergeCell ref="M108:N108"/>
    <mergeCell ref="C109:D109"/>
    <mergeCell ref="M109:N109"/>
    <mergeCell ref="C110:D110"/>
    <mergeCell ref="M110:N110"/>
    <mergeCell ref="C117:D117"/>
    <mergeCell ref="M117:N117"/>
    <mergeCell ref="C118:D118"/>
    <mergeCell ref="M118:N118"/>
    <mergeCell ref="C114:D114"/>
    <mergeCell ref="M114:N114"/>
    <mergeCell ref="C115:D115"/>
    <mergeCell ref="M115:N115"/>
    <mergeCell ref="C116:D116"/>
    <mergeCell ref="M116:N116"/>
  </mergeCells>
  <conditionalFormatting sqref="I92:J102 M92:M102">
    <cfRule type="cellIs" dxfId="15" priority="1" operator="greaterThan">
      <formula>8</formula>
    </cfRule>
    <cfRule type="cellIs" dxfId="14" priority="2" operator="equal">
      <formula>3</formula>
    </cfRule>
    <cfRule type="cellIs" dxfId="13" priority="3" operator="equal">
      <formula>2</formula>
    </cfRule>
    <cfRule type="cellIs" dxfId="12" priority="4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9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/>
  <dimension ref="B1:V142"/>
  <sheetViews>
    <sheetView showGridLines="0" zoomScale="70" zoomScaleNormal="70" zoomScalePageLayoutView="70" workbookViewId="0">
      <selection activeCell="E7" sqref="E7"/>
    </sheetView>
  </sheetViews>
  <sheetFormatPr defaultRowHeight="15"/>
  <cols>
    <col min="1" max="1" width="5.7109375" customWidth="1"/>
    <col min="2" max="2" width="20" customWidth="1"/>
    <col min="3" max="3" width="10.28515625" customWidth="1"/>
    <col min="4" max="4" width="11.85546875" customWidth="1"/>
    <col min="5" max="5" width="13.42578125" customWidth="1"/>
    <col min="6" max="6" width="13.5703125" customWidth="1"/>
    <col min="7" max="7" width="12.140625" customWidth="1"/>
    <col min="8" max="8" width="15.7109375" customWidth="1"/>
    <col min="9" max="10" width="11.5703125" customWidth="1"/>
    <col min="11" max="12" width="13.28515625" customWidth="1"/>
    <col min="13" max="13" width="16.7109375" customWidth="1"/>
    <col min="14" max="14" width="12.7109375" customWidth="1"/>
    <col min="15" max="15" width="14.85546875" customWidth="1"/>
    <col min="16" max="18" width="14.42578125" customWidth="1"/>
    <col min="19" max="19" width="14.85546875" customWidth="1"/>
  </cols>
  <sheetData>
    <row r="1" spans="2:22" ht="15.75" thickBot="1"/>
    <row r="2" spans="2:22" s="1" customFormat="1" ht="40.5" customHeight="1" thickBot="1">
      <c r="B2" s="179" t="str">
        <f>'(Monthly)Report Rodrigo'!B2:S2</f>
        <v>Tripda Report - Monthly</v>
      </c>
      <c r="C2" s="180"/>
      <c r="D2" s="180"/>
      <c r="E2" s="180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</row>
    <row r="3" spans="2:22" ht="15.75" thickBot="1"/>
    <row r="4" spans="2:22" ht="15.75" thickBot="1">
      <c r="B4" s="2" t="s">
        <v>1</v>
      </c>
      <c r="C4" s="3">
        <f ca="1">TODAY()</f>
        <v>42388</v>
      </c>
      <c r="D4" s="4"/>
      <c r="E4" s="4"/>
      <c r="K4" s="5"/>
      <c r="L4" s="5"/>
      <c r="M4" s="5"/>
      <c r="N4" s="5"/>
      <c r="O4" s="5"/>
    </row>
    <row r="5" spans="2:22" ht="15.75" thickBot="1">
      <c r="B5" s="6"/>
      <c r="C5" s="6"/>
      <c r="D5" s="6"/>
      <c r="E5" s="6"/>
      <c r="G5" s="5"/>
      <c r="H5" s="5"/>
      <c r="I5" s="5"/>
      <c r="J5" s="5"/>
      <c r="K5" s="5"/>
      <c r="L5" s="5"/>
      <c r="M5" s="5"/>
      <c r="N5" s="5"/>
      <c r="O5" s="5"/>
    </row>
    <row r="6" spans="2:22" ht="24" thickBot="1">
      <c r="B6" s="7"/>
      <c r="C6" s="182" t="s">
        <v>2</v>
      </c>
      <c r="D6" s="183"/>
      <c r="E6" s="183"/>
      <c r="F6" s="183"/>
      <c r="G6" s="183"/>
      <c r="H6" s="184"/>
      <c r="I6" s="185" t="s">
        <v>3</v>
      </c>
      <c r="J6" s="185"/>
      <c r="K6" s="185"/>
      <c r="L6" s="185"/>
      <c r="M6" s="185"/>
      <c r="N6" s="185"/>
      <c r="O6" s="185"/>
      <c r="P6" s="185"/>
      <c r="Q6" s="185"/>
      <c r="R6" s="185"/>
      <c r="S6" s="186"/>
    </row>
    <row r="7" spans="2:22" ht="60" customHeight="1" thickBot="1">
      <c r="B7" s="84"/>
      <c r="C7" s="9" t="s">
        <v>4</v>
      </c>
      <c r="D7" s="10" t="s">
        <v>5</v>
      </c>
      <c r="E7" s="11" t="s">
        <v>103</v>
      </c>
      <c r="F7" s="12" t="s">
        <v>7</v>
      </c>
      <c r="G7" s="12" t="s">
        <v>8</v>
      </c>
      <c r="H7" s="13" t="s">
        <v>9</v>
      </c>
      <c r="I7" s="10" t="s">
        <v>10</v>
      </c>
      <c r="J7" s="10" t="s">
        <v>75</v>
      </c>
      <c r="K7" s="12" t="s">
        <v>11</v>
      </c>
      <c r="L7" s="12" t="s">
        <v>76</v>
      </c>
      <c r="M7" s="12" t="s">
        <v>12</v>
      </c>
      <c r="N7" s="12" t="s">
        <v>13</v>
      </c>
      <c r="O7" s="12" t="s">
        <v>14</v>
      </c>
      <c r="P7" s="12" t="s">
        <v>15</v>
      </c>
      <c r="Q7" s="13" t="s">
        <v>16</v>
      </c>
      <c r="R7" s="13" t="s">
        <v>74</v>
      </c>
      <c r="S7" s="13" t="s">
        <v>73</v>
      </c>
    </row>
    <row r="8" spans="2:22">
      <c r="B8" s="14" t="s">
        <v>17</v>
      </c>
      <c r="C8" s="14"/>
      <c r="D8" s="15"/>
      <c r="E8" s="15"/>
      <c r="F8" s="15"/>
      <c r="G8" s="15"/>
      <c r="H8" s="16"/>
      <c r="I8" s="15"/>
      <c r="J8" s="15"/>
      <c r="K8" s="15"/>
      <c r="L8" s="15"/>
      <c r="M8" s="15"/>
      <c r="N8" s="15"/>
      <c r="O8" s="15"/>
      <c r="P8" s="15"/>
      <c r="Q8" s="15"/>
      <c r="R8" s="15"/>
      <c r="S8" s="16"/>
      <c r="V8" s="17"/>
    </row>
    <row r="9" spans="2:22">
      <c r="B9" s="85">
        <f ca="1">'(Monthly)Report Rodrigo'!B9</f>
        <v>42387</v>
      </c>
      <c r="C9" s="89">
        <f>'(Monthly)Report Rodrigo'!C9</f>
        <v>740</v>
      </c>
      <c r="D9" s="80">
        <f>'(Monthly)Report Rodrigo'!D9</f>
        <v>117</v>
      </c>
      <c r="E9" s="80">
        <f>'(Monthly)Report Rodrigo'!E9</f>
        <v>143</v>
      </c>
      <c r="F9" s="80">
        <f>'(Monthly)Report Rodrigo'!F9</f>
        <v>337</v>
      </c>
      <c r="G9" s="80">
        <f>'(Monthly)Report Rodrigo'!G9</f>
        <v>575</v>
      </c>
      <c r="H9" s="81">
        <f>'(Monthly)Report Rodrigo'!H9</f>
        <v>200930</v>
      </c>
      <c r="I9" s="87">
        <f>'(Monthly)Report Rodrigo'!I9</f>
        <v>191</v>
      </c>
      <c r="J9" s="87">
        <f>'(Monthly)Report Rodrigo'!J9</f>
        <v>0</v>
      </c>
      <c r="K9" s="87">
        <f>'(Monthly)Report Rodrigo'!K9</f>
        <v>373</v>
      </c>
      <c r="L9" s="87">
        <f>'(Monthly)Report Rodrigo'!L9</f>
        <v>0</v>
      </c>
      <c r="M9" s="87">
        <f>'(Monthly)Report Rodrigo'!M9</f>
        <v>1.95287958115183</v>
      </c>
      <c r="N9" s="87">
        <f>'(Monthly)Report Rodrigo'!N9</f>
        <v>0.14075165806926998</v>
      </c>
      <c r="O9" s="87">
        <f>'(Monthly)Report Rodrigo'!O9</f>
        <v>82.415549597855204</v>
      </c>
      <c r="P9" s="87">
        <f>'(Monthly)Report Rodrigo'!P9</f>
        <v>3.2710280373831703E-2</v>
      </c>
      <c r="Q9" s="87">
        <f>'(Monthly)Report Rodrigo'!Q9</f>
        <v>0</v>
      </c>
      <c r="R9" s="119">
        <f>'(Monthly)Report Rodrigo'!R9</f>
        <v>1.48</v>
      </c>
      <c r="S9" s="87">
        <f>'(Monthly)Report Rodrigo'!S9</f>
        <v>12830063.759999998</v>
      </c>
    </row>
    <row r="10" spans="2:22">
      <c r="B10" s="85">
        <f ca="1">'(Monthly)Report Rodrigo'!B10</f>
        <v>42380</v>
      </c>
      <c r="C10" s="89">
        <f>'(Monthly)Report Rodrigo'!C10</f>
        <v>865</v>
      </c>
      <c r="D10" s="80">
        <f>'(Monthly)Report Rodrigo'!D10</f>
        <v>117</v>
      </c>
      <c r="E10" s="80">
        <f>'(Monthly)Report Rodrigo'!E10</f>
        <v>147</v>
      </c>
      <c r="F10" s="80">
        <f>'(Monthly)Report Rodrigo'!F10</f>
        <v>437</v>
      </c>
      <c r="G10" s="80">
        <f>'(Monthly)Report Rodrigo'!G10</f>
        <v>539</v>
      </c>
      <c r="H10" s="81">
        <f>'(Monthly)Report Rodrigo'!H10</f>
        <v>199284</v>
      </c>
      <c r="I10" s="87">
        <f>'(Monthly)Report Rodrigo'!I10</f>
        <v>251</v>
      </c>
      <c r="J10" s="87">
        <f>'(Monthly)Report Rodrigo'!J10</f>
        <v>0</v>
      </c>
      <c r="K10" s="87">
        <f>'(Monthly)Report Rodrigo'!K10</f>
        <v>600</v>
      </c>
      <c r="L10" s="87">
        <f>'(Monthly)Report Rodrigo'!L10</f>
        <v>0</v>
      </c>
      <c r="M10" s="87">
        <f>'(Monthly)Report Rodrigo'!M10</f>
        <v>2.3904382470119501</v>
      </c>
      <c r="N10" s="87">
        <f>'(Monthly)Report Rodrigo'!N10</f>
        <v>0.18647845468053398</v>
      </c>
      <c r="O10" s="87">
        <f>'(Monthly)Report Rodrigo'!O10</f>
        <v>49.5283333333333</v>
      </c>
      <c r="P10" s="87">
        <f>'(Monthly)Report Rodrigo'!P10</f>
        <v>3.7410071942446006E-2</v>
      </c>
      <c r="Q10" s="87">
        <f>'(Monthly)Report Rodrigo'!Q10</f>
        <v>0</v>
      </c>
      <c r="R10" s="119">
        <f>'(Monthly)Report Rodrigo'!R10</f>
        <v>1.23</v>
      </c>
      <c r="S10" s="87">
        <f>'(Monthly)Report Rodrigo'!S10</f>
        <v>15552837.704999991</v>
      </c>
    </row>
    <row r="11" spans="2:22">
      <c r="B11" s="85">
        <f ca="1">'(Monthly)Report Rodrigo'!B11</f>
        <v>42373</v>
      </c>
      <c r="C11" s="89">
        <f>'(Monthly)Report Rodrigo'!C11</f>
        <v>815</v>
      </c>
      <c r="D11" s="80">
        <f>'(Monthly)Report Rodrigo'!D11</f>
        <v>127</v>
      </c>
      <c r="E11" s="80">
        <f>'(Monthly)Report Rodrigo'!E11</f>
        <v>170</v>
      </c>
      <c r="F11" s="80">
        <f>'(Monthly)Report Rodrigo'!F11</f>
        <v>398</v>
      </c>
      <c r="G11" s="80">
        <f>'(Monthly)Report Rodrigo'!G11</f>
        <v>543</v>
      </c>
      <c r="H11" s="81">
        <f>'(Monthly)Report Rodrigo'!H11</f>
        <v>331654</v>
      </c>
      <c r="I11" s="87">
        <f>'(Monthly)Report Rodrigo'!I11</f>
        <v>211</v>
      </c>
      <c r="J11" s="87">
        <f>'(Monthly)Report Rodrigo'!J11</f>
        <v>0</v>
      </c>
      <c r="K11" s="87">
        <f>'(Monthly)Report Rodrigo'!K11</f>
        <v>437</v>
      </c>
      <c r="L11" s="87">
        <f>'(Monthly)Report Rodrigo'!L11</f>
        <v>0</v>
      </c>
      <c r="M11" s="87">
        <f>'(Monthly)Report Rodrigo'!M11</f>
        <v>2.0710900473933602</v>
      </c>
      <c r="N11" s="87">
        <f>'(Monthly)Report Rodrigo'!N11</f>
        <v>0.17583333333333301</v>
      </c>
      <c r="O11" s="87">
        <f>'(Monthly)Report Rodrigo'!O11</f>
        <v>125.67505720823699</v>
      </c>
      <c r="P11" s="87">
        <f>'(Monthly)Report Rodrigo'!P11</f>
        <v>0.13242009132419999</v>
      </c>
      <c r="Q11" s="87">
        <f>'(Monthly)Report Rodrigo'!Q11</f>
        <v>0</v>
      </c>
      <c r="R11" s="119">
        <f>'(Monthly)Report Rodrigo'!R11</f>
        <v>0.99</v>
      </c>
      <c r="S11" s="87">
        <f>'(Monthly)Report Rodrigo'!S11</f>
        <v>17616139.199999861</v>
      </c>
    </row>
    <row r="12" spans="2:22" ht="15.75" thickBot="1">
      <c r="B12" s="86">
        <f ca="1">'(Monthly)Report Rodrigo'!B12</f>
        <v>42366</v>
      </c>
      <c r="C12" s="90">
        <f>'(Monthly)Report Rodrigo'!C12</f>
        <v>786</v>
      </c>
      <c r="D12" s="82">
        <f>'(Monthly)Report Rodrigo'!D12</f>
        <v>141</v>
      </c>
      <c r="E12" s="82">
        <f>'(Monthly)Report Rodrigo'!E12</f>
        <v>129</v>
      </c>
      <c r="F12" s="82">
        <f>'(Monthly)Report Rodrigo'!F12</f>
        <v>335</v>
      </c>
      <c r="G12" s="82">
        <f>'(Monthly)Report Rodrigo'!G12</f>
        <v>401</v>
      </c>
      <c r="H12" s="83">
        <f>'(Monthly)Report Rodrigo'!H12</f>
        <v>153299</v>
      </c>
      <c r="I12" s="88">
        <f>'(Monthly)Report Rodrigo'!I12</f>
        <v>165</v>
      </c>
      <c r="J12" s="88">
        <f>'(Monthly)Report Rodrigo'!J12</f>
        <v>0</v>
      </c>
      <c r="K12" s="88">
        <f>'(Monthly)Report Rodrigo'!K12</f>
        <v>319</v>
      </c>
      <c r="L12" s="88">
        <f>'(Monthly)Report Rodrigo'!L12</f>
        <v>0</v>
      </c>
      <c r="M12" s="88">
        <f>'(Monthly)Report Rodrigo'!M12</f>
        <v>1.9333333333333298</v>
      </c>
      <c r="N12" s="88">
        <f>'(Monthly)Report Rodrigo'!N12</f>
        <v>0.16683518705763301</v>
      </c>
      <c r="O12" s="88">
        <f>'(Monthly)Report Rodrigo'!O12</f>
        <v>54.078369905956102</v>
      </c>
      <c r="P12" s="88">
        <f>'(Monthly)Report Rodrigo'!P12</f>
        <v>7.9812206572769898E-2</v>
      </c>
      <c r="Q12" s="88">
        <f>'(Monthly)Report Rodrigo'!Q12</f>
        <v>0</v>
      </c>
      <c r="R12" s="119">
        <f>'(Monthly)Report Rodrigo'!R12</f>
        <v>1.1599999999999999</v>
      </c>
      <c r="S12" s="88">
        <f>'(Monthly)Report Rodrigo'!S12</f>
        <v>4842700.7199999988</v>
      </c>
    </row>
    <row r="13" spans="2:22">
      <c r="B13" s="56" t="s">
        <v>22</v>
      </c>
      <c r="C13" s="57"/>
      <c r="D13" s="58"/>
      <c r="E13" s="58"/>
      <c r="F13" s="58"/>
      <c r="G13" s="58"/>
      <c r="H13" s="59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59"/>
    </row>
    <row r="14" spans="2:22">
      <c r="B14" s="46">
        <v>42375</v>
      </c>
      <c r="C14" s="60"/>
      <c r="D14" s="61"/>
      <c r="E14" s="61"/>
      <c r="F14" s="62"/>
      <c r="G14" s="62"/>
      <c r="H14" s="63"/>
      <c r="I14" s="64"/>
      <c r="J14" s="64"/>
      <c r="K14" s="61"/>
      <c r="L14" s="61"/>
      <c r="M14" s="51"/>
      <c r="N14" s="52"/>
      <c r="O14" s="51"/>
      <c r="P14" s="52"/>
      <c r="Q14" s="111"/>
      <c r="R14" s="111">
        <v>0.69</v>
      </c>
      <c r="S14" s="113">
        <v>0</v>
      </c>
    </row>
    <row r="15" spans="2:22">
      <c r="B15" s="46">
        <v>42368</v>
      </c>
      <c r="C15" s="60"/>
      <c r="D15" s="61"/>
      <c r="E15" s="61"/>
      <c r="F15" s="62"/>
      <c r="G15" s="62"/>
      <c r="H15" s="63"/>
      <c r="I15" s="64"/>
      <c r="J15" s="64"/>
      <c r="K15" s="61"/>
      <c r="L15" s="61"/>
      <c r="M15" s="51"/>
      <c r="N15" s="52"/>
      <c r="O15" s="51"/>
      <c r="P15" s="52"/>
      <c r="Q15" s="111"/>
      <c r="R15" s="111">
        <v>0.32</v>
      </c>
      <c r="S15" s="113">
        <v>0</v>
      </c>
    </row>
    <row r="16" spans="2:22">
      <c r="B16" s="53">
        <v>42361</v>
      </c>
      <c r="C16" s="60"/>
      <c r="D16" s="61"/>
      <c r="E16" s="61"/>
      <c r="F16" s="62"/>
      <c r="G16" s="62"/>
      <c r="H16" s="63"/>
      <c r="I16" s="64"/>
      <c r="J16" s="64"/>
      <c r="K16" s="65"/>
      <c r="L16" s="99"/>
      <c r="M16" s="54"/>
      <c r="N16" s="52"/>
      <c r="O16" s="54"/>
      <c r="P16" s="52"/>
      <c r="Q16" s="111"/>
      <c r="R16" s="111">
        <v>0.42</v>
      </c>
      <c r="S16" s="113">
        <v>0</v>
      </c>
    </row>
    <row r="17" spans="2:22" ht="15.75" thickBot="1">
      <c r="B17" s="53">
        <v>42354</v>
      </c>
      <c r="C17" s="60"/>
      <c r="D17" s="61"/>
      <c r="E17" s="61"/>
      <c r="F17" s="62"/>
      <c r="G17" s="62"/>
      <c r="H17" s="63"/>
      <c r="I17" s="66"/>
      <c r="J17" s="66"/>
      <c r="K17" s="67"/>
      <c r="L17" s="67"/>
      <c r="M17" s="55"/>
      <c r="N17" s="52"/>
      <c r="O17" s="55"/>
      <c r="P17" s="52"/>
      <c r="Q17" s="111"/>
      <c r="R17" s="111">
        <v>0.45</v>
      </c>
      <c r="S17" s="113">
        <v>0</v>
      </c>
    </row>
    <row r="18" spans="2:22">
      <c r="B18" s="56" t="s">
        <v>72</v>
      </c>
      <c r="C18" s="57"/>
      <c r="D18" s="58"/>
      <c r="E18" s="58"/>
      <c r="F18" s="58"/>
      <c r="G18" s="58"/>
      <c r="H18" s="59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9"/>
      <c r="U18" s="17"/>
      <c r="V18" s="17"/>
    </row>
    <row r="19" spans="2:22">
      <c r="B19" s="46">
        <v>42375</v>
      </c>
      <c r="C19" s="60"/>
      <c r="D19" s="61"/>
      <c r="E19" s="61"/>
      <c r="F19" s="61"/>
      <c r="G19" s="61"/>
      <c r="H19" s="63"/>
      <c r="I19" s="64"/>
      <c r="J19" s="64"/>
      <c r="K19" s="61"/>
      <c r="L19" s="61"/>
      <c r="M19" s="51"/>
      <c r="N19" s="52"/>
      <c r="O19" s="51"/>
      <c r="P19" s="52"/>
      <c r="Q19" s="111"/>
      <c r="R19" s="111">
        <v>2.4900000000000002</v>
      </c>
      <c r="S19" s="113">
        <v>0</v>
      </c>
    </row>
    <row r="20" spans="2:22">
      <c r="B20" s="46">
        <v>42368</v>
      </c>
      <c r="C20" s="60"/>
      <c r="D20" s="61"/>
      <c r="E20" s="61"/>
      <c r="F20" s="61"/>
      <c r="G20" s="61"/>
      <c r="H20" s="63"/>
      <c r="I20" s="64"/>
      <c r="J20" s="64"/>
      <c r="K20" s="61"/>
      <c r="L20" s="61"/>
      <c r="M20" s="51"/>
      <c r="N20" s="52"/>
      <c r="O20" s="51"/>
      <c r="P20" s="52"/>
      <c r="Q20" s="111"/>
      <c r="R20" s="111">
        <v>1.5</v>
      </c>
      <c r="S20" s="113">
        <v>0</v>
      </c>
    </row>
    <row r="21" spans="2:22">
      <c r="B21" s="53">
        <v>42361</v>
      </c>
      <c r="C21" s="60"/>
      <c r="D21" s="61"/>
      <c r="E21" s="61"/>
      <c r="F21" s="61"/>
      <c r="G21" s="61"/>
      <c r="H21" s="63"/>
      <c r="I21" s="64"/>
      <c r="J21" s="64"/>
      <c r="K21" s="61"/>
      <c r="L21" s="100"/>
      <c r="M21" s="54"/>
      <c r="N21" s="52"/>
      <c r="O21" s="54"/>
      <c r="P21" s="52"/>
      <c r="Q21" s="111"/>
      <c r="R21" s="111">
        <v>1.72</v>
      </c>
      <c r="S21" s="113">
        <v>0</v>
      </c>
    </row>
    <row r="22" spans="2:22" ht="15.75" thickBot="1">
      <c r="B22" s="53">
        <v>42354</v>
      </c>
      <c r="C22" s="68"/>
      <c r="D22" s="67"/>
      <c r="E22" s="67"/>
      <c r="F22" s="67"/>
      <c r="G22" s="67"/>
      <c r="H22" s="69"/>
      <c r="I22" s="66"/>
      <c r="J22" s="66"/>
      <c r="K22" s="67"/>
      <c r="L22" s="67"/>
      <c r="M22" s="55"/>
      <c r="N22" s="52"/>
      <c r="O22" s="55"/>
      <c r="P22" s="52"/>
      <c r="Q22" s="111"/>
      <c r="R22" s="111">
        <v>1.74</v>
      </c>
      <c r="S22" s="113">
        <v>0</v>
      </c>
    </row>
    <row r="23" spans="2:22">
      <c r="B23" s="56" t="s">
        <v>21</v>
      </c>
      <c r="C23" s="57"/>
      <c r="D23" s="58"/>
      <c r="E23" s="58"/>
      <c r="F23" s="58"/>
      <c r="G23" s="58"/>
      <c r="H23" s="59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9"/>
    </row>
    <row r="24" spans="2:22">
      <c r="B24" s="46">
        <v>42375</v>
      </c>
      <c r="C24" s="60"/>
      <c r="D24" s="61"/>
      <c r="E24" s="61"/>
      <c r="F24" s="61"/>
      <c r="G24" s="61"/>
      <c r="H24" s="63"/>
      <c r="I24" s="64"/>
      <c r="J24" s="64"/>
      <c r="K24" s="61"/>
      <c r="L24" s="61"/>
      <c r="M24" s="51"/>
      <c r="N24" s="52"/>
      <c r="O24" s="51"/>
      <c r="P24" s="52"/>
      <c r="Q24" s="111"/>
      <c r="R24" s="111">
        <v>0.75</v>
      </c>
      <c r="S24" s="113">
        <v>0</v>
      </c>
    </row>
    <row r="25" spans="2:22">
      <c r="B25" s="46">
        <v>42368</v>
      </c>
      <c r="C25" s="60"/>
      <c r="D25" s="61"/>
      <c r="E25" s="61"/>
      <c r="F25" s="61"/>
      <c r="G25" s="61"/>
      <c r="H25" s="63"/>
      <c r="I25" s="64"/>
      <c r="J25" s="64"/>
      <c r="K25" s="61"/>
      <c r="L25" s="61"/>
      <c r="M25" s="51"/>
      <c r="N25" s="52"/>
      <c r="O25" s="51"/>
      <c r="P25" s="52"/>
      <c r="Q25" s="111"/>
      <c r="R25" s="111">
        <v>0.52</v>
      </c>
      <c r="S25" s="113">
        <v>0</v>
      </c>
    </row>
    <row r="26" spans="2:22">
      <c r="B26" s="53">
        <v>42361</v>
      </c>
      <c r="C26" s="60"/>
      <c r="D26" s="61"/>
      <c r="E26" s="61"/>
      <c r="F26" s="61"/>
      <c r="G26" s="61"/>
      <c r="H26" s="63"/>
      <c r="I26" s="64"/>
      <c r="J26" s="64"/>
      <c r="K26" s="61"/>
      <c r="L26" s="100"/>
      <c r="M26" s="54"/>
      <c r="N26" s="52"/>
      <c r="O26" s="54"/>
      <c r="P26" s="52"/>
      <c r="Q26" s="111"/>
      <c r="R26" s="111">
        <v>0.68</v>
      </c>
      <c r="S26" s="113">
        <v>0</v>
      </c>
    </row>
    <row r="27" spans="2:22" ht="15.75" thickBot="1">
      <c r="B27" s="53">
        <v>42354</v>
      </c>
      <c r="C27" s="60"/>
      <c r="D27" s="61"/>
      <c r="E27" s="61"/>
      <c r="F27" s="61"/>
      <c r="G27" s="61"/>
      <c r="H27" s="63"/>
      <c r="I27" s="64"/>
      <c r="J27" s="64"/>
      <c r="K27" s="61"/>
      <c r="L27" s="100"/>
      <c r="M27" s="55"/>
      <c r="N27" s="52"/>
      <c r="O27" s="55"/>
      <c r="P27" s="52"/>
      <c r="Q27" s="111"/>
      <c r="R27" s="111">
        <v>0.6</v>
      </c>
      <c r="S27" s="113">
        <v>0</v>
      </c>
    </row>
    <row r="28" spans="2:22">
      <c r="B28" s="70" t="s">
        <v>18</v>
      </c>
      <c r="C28" s="57"/>
      <c r="D28" s="58"/>
      <c r="E28" s="58"/>
      <c r="F28" s="58"/>
      <c r="G28" s="58"/>
      <c r="H28" s="59"/>
      <c r="I28" s="58"/>
      <c r="J28" s="58"/>
      <c r="K28" s="58"/>
      <c r="L28" s="58"/>
      <c r="M28" s="58"/>
      <c r="N28" s="58"/>
      <c r="O28" s="58"/>
      <c r="P28" s="58"/>
      <c r="Q28" s="58"/>
      <c r="R28" s="58"/>
      <c r="S28" s="59"/>
      <c r="U28" s="17"/>
      <c r="V28" s="17"/>
    </row>
    <row r="29" spans="2:22">
      <c r="B29" s="46">
        <v>42375</v>
      </c>
      <c r="C29" s="60"/>
      <c r="D29" s="61"/>
      <c r="E29" s="61"/>
      <c r="F29" s="61"/>
      <c r="G29" s="61"/>
      <c r="H29" s="63"/>
      <c r="I29" s="71"/>
      <c r="J29" s="71"/>
      <c r="K29" s="62"/>
      <c r="L29" s="62"/>
      <c r="M29" s="51"/>
      <c r="N29" s="52"/>
      <c r="O29" s="51"/>
      <c r="P29" s="52"/>
      <c r="Q29" s="111"/>
      <c r="R29" s="111">
        <v>3.37</v>
      </c>
      <c r="S29" s="113">
        <v>0</v>
      </c>
    </row>
    <row r="30" spans="2:22">
      <c r="B30" s="46">
        <v>42368</v>
      </c>
      <c r="C30" s="60"/>
      <c r="D30" s="61"/>
      <c r="E30" s="61"/>
      <c r="F30" s="61"/>
      <c r="G30" s="61"/>
      <c r="H30" s="63"/>
      <c r="I30" s="71"/>
      <c r="J30" s="71"/>
      <c r="K30" s="62"/>
      <c r="L30" s="62"/>
      <c r="M30" s="51"/>
      <c r="N30" s="52"/>
      <c r="O30" s="51"/>
      <c r="P30" s="52"/>
      <c r="Q30" s="111"/>
      <c r="R30" s="111">
        <v>3.98</v>
      </c>
      <c r="S30" s="113">
        <v>0</v>
      </c>
    </row>
    <row r="31" spans="2:22">
      <c r="B31" s="53">
        <v>42361</v>
      </c>
      <c r="C31" s="60"/>
      <c r="D31" s="61"/>
      <c r="E31" s="61"/>
      <c r="F31" s="61"/>
      <c r="G31" s="61"/>
      <c r="H31" s="63"/>
      <c r="I31" s="64"/>
      <c r="J31" s="64"/>
      <c r="K31" s="61"/>
      <c r="L31" s="100"/>
      <c r="M31" s="54"/>
      <c r="N31" s="52"/>
      <c r="O31" s="54"/>
      <c r="P31" s="52"/>
      <c r="Q31" s="111"/>
      <c r="R31" s="111">
        <v>3.14</v>
      </c>
      <c r="S31" s="113">
        <v>0</v>
      </c>
    </row>
    <row r="32" spans="2:22" ht="15.75" thickBot="1">
      <c r="B32" s="53">
        <v>42354</v>
      </c>
      <c r="C32" s="60"/>
      <c r="D32" s="61"/>
      <c r="E32" s="61"/>
      <c r="F32" s="61"/>
      <c r="G32" s="61"/>
      <c r="H32" s="63"/>
      <c r="I32" s="66"/>
      <c r="J32" s="66"/>
      <c r="K32" s="67"/>
      <c r="L32" s="67"/>
      <c r="M32" s="55"/>
      <c r="N32" s="52"/>
      <c r="O32" s="55"/>
      <c r="P32" s="52"/>
      <c r="Q32" s="111"/>
      <c r="R32" s="111">
        <v>0.84</v>
      </c>
      <c r="S32" s="113">
        <v>0</v>
      </c>
    </row>
    <row r="33" spans="2:19">
      <c r="B33" s="70" t="s">
        <v>26</v>
      </c>
      <c r="C33" s="57"/>
      <c r="D33" s="58"/>
      <c r="E33" s="58"/>
      <c r="F33" s="58"/>
      <c r="G33" s="58"/>
      <c r="H33" s="59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9"/>
    </row>
    <row r="34" spans="2:19">
      <c r="B34" s="46">
        <v>42375</v>
      </c>
      <c r="C34" s="60"/>
      <c r="D34" s="61"/>
      <c r="E34" s="61"/>
      <c r="F34" s="61"/>
      <c r="G34" s="61"/>
      <c r="H34" s="49"/>
      <c r="I34" s="64"/>
      <c r="J34" s="64"/>
      <c r="K34" s="61"/>
      <c r="L34" s="61"/>
      <c r="M34" s="51"/>
      <c r="N34" s="52"/>
      <c r="O34" s="51"/>
      <c r="P34" s="52"/>
      <c r="Q34" s="111"/>
      <c r="R34" s="111">
        <v>1.7</v>
      </c>
      <c r="S34" s="113">
        <v>0</v>
      </c>
    </row>
    <row r="35" spans="2:19">
      <c r="B35" s="46">
        <v>42368</v>
      </c>
      <c r="C35" s="60"/>
      <c r="D35" s="61"/>
      <c r="E35" s="61"/>
      <c r="F35" s="61"/>
      <c r="G35" s="61"/>
      <c r="H35" s="49"/>
      <c r="I35" s="64"/>
      <c r="J35" s="64"/>
      <c r="K35" s="61"/>
      <c r="L35" s="61"/>
      <c r="M35" s="51"/>
      <c r="N35" s="52"/>
      <c r="O35" s="51"/>
      <c r="P35" s="52"/>
      <c r="Q35" s="111"/>
      <c r="R35" s="111">
        <v>1.79</v>
      </c>
      <c r="S35" s="113">
        <v>0</v>
      </c>
    </row>
    <row r="36" spans="2:19">
      <c r="B36" s="53">
        <v>42361</v>
      </c>
      <c r="C36" s="60"/>
      <c r="D36" s="61"/>
      <c r="E36" s="61"/>
      <c r="F36" s="61"/>
      <c r="G36" s="61"/>
      <c r="H36" s="49"/>
      <c r="I36" s="64"/>
      <c r="J36" s="64"/>
      <c r="K36" s="61"/>
      <c r="L36" s="100"/>
      <c r="M36" s="54"/>
      <c r="N36" s="52"/>
      <c r="O36" s="54"/>
      <c r="P36" s="52"/>
      <c r="Q36" s="111"/>
      <c r="R36" s="111">
        <v>0.35</v>
      </c>
      <c r="S36" s="113">
        <v>0</v>
      </c>
    </row>
    <row r="37" spans="2:19" ht="16.5" customHeight="1" thickBot="1">
      <c r="B37" s="53">
        <v>42354</v>
      </c>
      <c r="C37" s="60"/>
      <c r="D37" s="61"/>
      <c r="E37" s="61"/>
      <c r="F37" s="61"/>
      <c r="G37" s="61"/>
      <c r="H37" s="49"/>
      <c r="I37" s="66"/>
      <c r="J37" s="66"/>
      <c r="K37" s="67"/>
      <c r="L37" s="67"/>
      <c r="M37" s="55"/>
      <c r="N37" s="52"/>
      <c r="O37" s="55"/>
      <c r="P37" s="52"/>
      <c r="Q37" s="111"/>
      <c r="R37" s="111">
        <v>3.82</v>
      </c>
      <c r="S37" s="113">
        <v>0</v>
      </c>
    </row>
    <row r="38" spans="2:19">
      <c r="B38" s="70" t="s">
        <v>20</v>
      </c>
      <c r="C38" s="57"/>
      <c r="D38" s="58"/>
      <c r="E38" s="58"/>
      <c r="F38" s="58"/>
      <c r="G38" s="58"/>
      <c r="H38" s="59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9"/>
    </row>
    <row r="39" spans="2:19">
      <c r="B39" s="46">
        <v>42375</v>
      </c>
      <c r="C39" s="60"/>
      <c r="D39" s="61"/>
      <c r="E39" s="61"/>
      <c r="F39" s="61"/>
      <c r="G39" s="61"/>
      <c r="H39" s="49"/>
      <c r="I39" s="64"/>
      <c r="J39" s="64"/>
      <c r="K39" s="61"/>
      <c r="L39" s="61"/>
      <c r="M39" s="51"/>
      <c r="N39" s="52"/>
      <c r="O39" s="51"/>
      <c r="P39" s="52"/>
      <c r="Q39" s="111"/>
      <c r="R39" s="111">
        <v>0.61</v>
      </c>
      <c r="S39" s="113">
        <v>0</v>
      </c>
    </row>
    <row r="40" spans="2:19">
      <c r="B40" s="46">
        <v>42368</v>
      </c>
      <c r="C40" s="60"/>
      <c r="D40" s="61"/>
      <c r="E40" s="61"/>
      <c r="F40" s="61"/>
      <c r="G40" s="61"/>
      <c r="H40" s="49"/>
      <c r="I40" s="64"/>
      <c r="J40" s="64"/>
      <c r="K40" s="61"/>
      <c r="L40" s="61"/>
      <c r="M40" s="51"/>
      <c r="N40" s="52"/>
      <c r="O40" s="51"/>
      <c r="P40" s="52"/>
      <c r="Q40" s="111"/>
      <c r="R40" s="111">
        <v>0.92</v>
      </c>
      <c r="S40" s="113">
        <v>0</v>
      </c>
    </row>
    <row r="41" spans="2:19" ht="16.5" customHeight="1">
      <c r="B41" s="53">
        <v>42361</v>
      </c>
      <c r="C41" s="60"/>
      <c r="D41" s="61"/>
      <c r="E41" s="61"/>
      <c r="F41" s="61"/>
      <c r="G41" s="61"/>
      <c r="H41" s="49"/>
      <c r="I41" s="64"/>
      <c r="J41" s="64"/>
      <c r="K41" s="61"/>
      <c r="L41" s="100"/>
      <c r="M41" s="54"/>
      <c r="N41" s="52"/>
      <c r="O41" s="54"/>
      <c r="P41" s="52"/>
      <c r="Q41" s="111"/>
      <c r="R41" s="111">
        <v>1.32</v>
      </c>
      <c r="S41" s="113">
        <v>0</v>
      </c>
    </row>
    <row r="42" spans="2:19" ht="15.75" thickBot="1">
      <c r="B42" s="53">
        <v>42354</v>
      </c>
      <c r="C42" s="60"/>
      <c r="D42" s="61"/>
      <c r="E42" s="61"/>
      <c r="F42" s="61"/>
      <c r="G42" s="61"/>
      <c r="H42" s="49"/>
      <c r="I42" s="64"/>
      <c r="J42" s="64"/>
      <c r="K42" s="61"/>
      <c r="L42" s="100"/>
      <c r="M42" s="55"/>
      <c r="N42" s="52"/>
      <c r="O42" s="55"/>
      <c r="P42" s="52"/>
      <c r="Q42" s="111"/>
      <c r="R42" s="111">
        <v>2.0499999999999998</v>
      </c>
      <c r="S42" s="113">
        <v>0</v>
      </c>
    </row>
    <row r="43" spans="2:19">
      <c r="B43" s="70" t="s">
        <v>19</v>
      </c>
      <c r="C43" s="57"/>
      <c r="D43" s="58"/>
      <c r="E43" s="58"/>
      <c r="F43" s="58"/>
      <c r="G43" s="58"/>
      <c r="H43" s="59"/>
      <c r="I43" s="58"/>
      <c r="J43" s="58"/>
      <c r="K43" s="58"/>
      <c r="L43" s="58"/>
      <c r="M43" s="58"/>
      <c r="N43" s="58"/>
      <c r="O43" s="58"/>
      <c r="P43" s="58"/>
      <c r="Q43" s="58"/>
      <c r="R43" s="58"/>
      <c r="S43" s="59"/>
    </row>
    <row r="44" spans="2:19">
      <c r="B44" s="46">
        <v>42375</v>
      </c>
      <c r="C44" s="60"/>
      <c r="D44" s="61"/>
      <c r="E44" s="61"/>
      <c r="F44" s="61"/>
      <c r="G44" s="61"/>
      <c r="H44" s="49"/>
      <c r="I44" s="64"/>
      <c r="J44" s="64"/>
      <c r="K44" s="61"/>
      <c r="L44" s="61"/>
      <c r="M44" s="51"/>
      <c r="N44" s="52"/>
      <c r="O44" s="51"/>
      <c r="P44" s="52"/>
      <c r="Q44" s="111"/>
      <c r="R44" s="111">
        <v>3.01</v>
      </c>
      <c r="S44" s="113">
        <v>0</v>
      </c>
    </row>
    <row r="45" spans="2:19">
      <c r="B45" s="46">
        <v>42368</v>
      </c>
      <c r="C45" s="60"/>
      <c r="D45" s="61"/>
      <c r="E45" s="61"/>
      <c r="F45" s="61"/>
      <c r="G45" s="61"/>
      <c r="H45" s="49"/>
      <c r="I45" s="64"/>
      <c r="J45" s="64"/>
      <c r="K45" s="61"/>
      <c r="L45" s="61"/>
      <c r="M45" s="51"/>
      <c r="N45" s="52"/>
      <c r="O45" s="51"/>
      <c r="P45" s="52"/>
      <c r="Q45" s="111"/>
      <c r="R45" s="111">
        <v>3.25</v>
      </c>
      <c r="S45" s="113">
        <v>0</v>
      </c>
    </row>
    <row r="46" spans="2:19">
      <c r="B46" s="53">
        <v>42361</v>
      </c>
      <c r="C46" s="60"/>
      <c r="D46" s="61"/>
      <c r="E46" s="61"/>
      <c r="F46" s="61"/>
      <c r="G46" s="61"/>
      <c r="H46" s="49"/>
      <c r="I46" s="64"/>
      <c r="J46" s="64"/>
      <c r="K46" s="61"/>
      <c r="L46" s="100"/>
      <c r="M46" s="54"/>
      <c r="N46" s="52"/>
      <c r="O46" s="54"/>
      <c r="P46" s="52"/>
      <c r="Q46" s="111"/>
      <c r="R46" s="111">
        <v>1.44</v>
      </c>
      <c r="S46" s="113">
        <v>0</v>
      </c>
    </row>
    <row r="47" spans="2:19" ht="15.75" thickBot="1">
      <c r="B47" s="53">
        <v>42354</v>
      </c>
      <c r="C47" s="60"/>
      <c r="D47" s="61"/>
      <c r="E47" s="61"/>
      <c r="F47" s="61"/>
      <c r="G47" s="61"/>
      <c r="H47" s="49"/>
      <c r="I47" s="64"/>
      <c r="J47" s="64"/>
      <c r="K47" s="61"/>
      <c r="L47" s="100"/>
      <c r="M47" s="55"/>
      <c r="N47" s="52"/>
      <c r="O47" s="55"/>
      <c r="P47" s="52"/>
      <c r="Q47" s="111"/>
      <c r="R47" s="111">
        <v>2.76</v>
      </c>
      <c r="S47" s="113">
        <v>0</v>
      </c>
    </row>
    <row r="48" spans="2:19">
      <c r="B48" s="70" t="s">
        <v>27</v>
      </c>
      <c r="C48" s="57"/>
      <c r="D48" s="58"/>
      <c r="E48" s="58"/>
      <c r="F48" s="58"/>
      <c r="G48" s="58"/>
      <c r="H48" s="59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9"/>
    </row>
    <row r="49" spans="2:19">
      <c r="B49" s="46">
        <v>42375</v>
      </c>
      <c r="C49" s="60"/>
      <c r="D49" s="61"/>
      <c r="E49" s="61"/>
      <c r="F49" s="61"/>
      <c r="G49" s="61"/>
      <c r="H49" s="72"/>
      <c r="I49" s="64"/>
      <c r="J49" s="64"/>
      <c r="K49" s="61"/>
      <c r="L49" s="61"/>
      <c r="M49" s="51"/>
      <c r="N49" s="52"/>
      <c r="O49" s="51"/>
      <c r="P49" s="52"/>
      <c r="Q49" s="111"/>
      <c r="R49" s="111">
        <v>1.6</v>
      </c>
      <c r="S49" s="113">
        <v>0</v>
      </c>
    </row>
    <row r="50" spans="2:19">
      <c r="B50" s="46">
        <v>42368</v>
      </c>
      <c r="C50" s="60"/>
      <c r="D50" s="61"/>
      <c r="E50" s="61"/>
      <c r="F50" s="61"/>
      <c r="G50" s="61"/>
      <c r="H50" s="72"/>
      <c r="I50" s="64"/>
      <c r="J50" s="64"/>
      <c r="K50" s="61"/>
      <c r="L50" s="61"/>
      <c r="M50" s="51"/>
      <c r="N50" s="52"/>
      <c r="O50" s="51"/>
      <c r="P50" s="52"/>
      <c r="Q50" s="111"/>
      <c r="R50" s="111">
        <v>1.24</v>
      </c>
      <c r="S50" s="113">
        <v>0</v>
      </c>
    </row>
    <row r="51" spans="2:19">
      <c r="B51" s="53">
        <v>42361</v>
      </c>
      <c r="C51" s="60"/>
      <c r="D51" s="61"/>
      <c r="E51" s="61"/>
      <c r="F51" s="61"/>
      <c r="G51" s="61"/>
      <c r="H51" s="72"/>
      <c r="I51" s="64"/>
      <c r="J51" s="64"/>
      <c r="K51" s="61"/>
      <c r="L51" s="61"/>
      <c r="M51" s="51"/>
      <c r="N51" s="52"/>
      <c r="O51" s="51"/>
      <c r="P51" s="52"/>
      <c r="Q51" s="111"/>
      <c r="R51" s="111">
        <v>1.22</v>
      </c>
      <c r="S51" s="113">
        <v>0</v>
      </c>
    </row>
    <row r="52" spans="2:19" ht="15.75" thickBot="1">
      <c r="B52" s="53">
        <v>42354</v>
      </c>
      <c r="C52" s="60"/>
      <c r="D52" s="61"/>
      <c r="E52" s="61"/>
      <c r="F52" s="61"/>
      <c r="G52" s="61"/>
      <c r="H52" s="72"/>
      <c r="I52" s="64"/>
      <c r="J52" s="64"/>
      <c r="K52" s="61"/>
      <c r="L52" s="100"/>
      <c r="M52" s="54"/>
      <c r="N52" s="52"/>
      <c r="O52" s="54"/>
      <c r="P52" s="52"/>
      <c r="Q52" s="111"/>
      <c r="R52" s="111">
        <v>0.28000000000000003</v>
      </c>
      <c r="S52" s="113">
        <v>0</v>
      </c>
    </row>
    <row r="53" spans="2:19">
      <c r="B53" s="70" t="s">
        <v>23</v>
      </c>
      <c r="C53" s="57"/>
      <c r="D53" s="58"/>
      <c r="E53" s="58"/>
      <c r="F53" s="58"/>
      <c r="G53" s="58"/>
      <c r="H53" s="59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9"/>
    </row>
    <row r="54" spans="2:19">
      <c r="B54" s="46">
        <v>42375</v>
      </c>
      <c r="C54" s="60"/>
      <c r="D54" s="61"/>
      <c r="E54" s="61"/>
      <c r="F54" s="61"/>
      <c r="G54" s="61"/>
      <c r="H54" s="49"/>
      <c r="I54" s="64"/>
      <c r="J54" s="64"/>
      <c r="K54" s="61"/>
      <c r="L54" s="61"/>
      <c r="M54" s="51"/>
      <c r="N54" s="52"/>
      <c r="O54" s="51"/>
      <c r="P54" s="52"/>
      <c r="Q54" s="111"/>
      <c r="R54" s="111">
        <v>8.43</v>
      </c>
      <c r="S54" s="113">
        <v>0</v>
      </c>
    </row>
    <row r="55" spans="2:19">
      <c r="B55" s="46">
        <v>42368</v>
      </c>
      <c r="C55" s="60"/>
      <c r="D55" s="61"/>
      <c r="E55" s="61"/>
      <c r="F55" s="61"/>
      <c r="G55" s="61"/>
      <c r="H55" s="49"/>
      <c r="I55" s="64"/>
      <c r="J55" s="64"/>
      <c r="K55" s="61"/>
      <c r="L55" s="61"/>
      <c r="M55" s="51"/>
      <c r="N55" s="52"/>
      <c r="O55" s="54"/>
      <c r="P55" s="52"/>
      <c r="Q55" s="111"/>
      <c r="R55" s="111">
        <v>2.59</v>
      </c>
      <c r="S55" s="113">
        <v>0</v>
      </c>
    </row>
    <row r="56" spans="2:19">
      <c r="B56" s="53">
        <v>42361</v>
      </c>
      <c r="C56" s="60"/>
      <c r="D56" s="61"/>
      <c r="E56" s="61"/>
      <c r="F56" s="61"/>
      <c r="G56" s="61"/>
      <c r="H56" s="49"/>
      <c r="I56" s="64"/>
      <c r="J56" s="64"/>
      <c r="K56" s="61"/>
      <c r="L56" s="61"/>
      <c r="M56" s="51"/>
      <c r="N56" s="52"/>
      <c r="O56" s="51"/>
      <c r="P56" s="52"/>
      <c r="Q56" s="111"/>
      <c r="R56" s="111">
        <v>2.3199999999999998</v>
      </c>
      <c r="S56" s="113">
        <v>0</v>
      </c>
    </row>
    <row r="57" spans="2:19" ht="15.75" thickBot="1">
      <c r="B57" s="53">
        <v>42354</v>
      </c>
      <c r="C57" s="60"/>
      <c r="D57" s="61"/>
      <c r="E57" s="61"/>
      <c r="F57" s="61"/>
      <c r="G57" s="61"/>
      <c r="H57" s="49"/>
      <c r="I57" s="64"/>
      <c r="J57" s="64"/>
      <c r="K57" s="61"/>
      <c r="L57" s="100"/>
      <c r="M57" s="54"/>
      <c r="N57" s="52"/>
      <c r="O57" s="54"/>
      <c r="P57" s="52"/>
      <c r="Q57" s="111"/>
      <c r="R57" s="111">
        <v>1.87</v>
      </c>
      <c r="S57" s="113">
        <v>0</v>
      </c>
    </row>
    <row r="58" spans="2:19">
      <c r="B58" s="70" t="s">
        <v>24</v>
      </c>
      <c r="C58" s="57"/>
      <c r="D58" s="58"/>
      <c r="E58" s="58"/>
      <c r="F58" s="58"/>
      <c r="G58" s="58"/>
      <c r="H58" s="59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114"/>
    </row>
    <row r="59" spans="2:19">
      <c r="B59" s="46">
        <v>42375</v>
      </c>
      <c r="C59" s="60"/>
      <c r="D59" s="61"/>
      <c r="E59" s="61"/>
      <c r="F59" s="61"/>
      <c r="G59" s="61"/>
      <c r="H59" s="49"/>
      <c r="I59" s="64"/>
      <c r="J59" s="64"/>
      <c r="K59" s="61"/>
      <c r="L59" s="61"/>
      <c r="M59" s="51"/>
      <c r="N59" s="52"/>
      <c r="O59" s="51"/>
      <c r="P59" s="52"/>
      <c r="Q59" s="111"/>
      <c r="R59" s="111">
        <v>0.41</v>
      </c>
      <c r="S59" s="113">
        <v>0</v>
      </c>
    </row>
    <row r="60" spans="2:19">
      <c r="B60" s="46">
        <v>42368</v>
      </c>
      <c r="C60" s="60"/>
      <c r="D60" s="61"/>
      <c r="E60" s="61"/>
      <c r="F60" s="61"/>
      <c r="G60" s="61"/>
      <c r="H60" s="49"/>
      <c r="I60" s="64"/>
      <c r="J60" s="64"/>
      <c r="K60" s="61"/>
      <c r="L60" s="61"/>
      <c r="M60" s="51"/>
      <c r="N60" s="52"/>
      <c r="O60" s="51"/>
      <c r="P60" s="52"/>
      <c r="Q60" s="111"/>
      <c r="R60" s="111">
        <v>0.28000000000000003</v>
      </c>
      <c r="S60" s="113">
        <v>0</v>
      </c>
    </row>
    <row r="61" spans="2:19">
      <c r="B61" s="53">
        <v>42361</v>
      </c>
      <c r="C61" s="60"/>
      <c r="D61" s="61"/>
      <c r="E61" s="61"/>
      <c r="F61" s="61"/>
      <c r="G61" s="61"/>
      <c r="H61" s="49"/>
      <c r="I61" s="64"/>
      <c r="J61" s="64"/>
      <c r="K61" s="61"/>
      <c r="L61" s="61"/>
      <c r="M61" s="51"/>
      <c r="N61" s="52"/>
      <c r="O61" s="51"/>
      <c r="P61" s="52"/>
      <c r="Q61" s="111"/>
      <c r="R61" s="111">
        <v>0.36</v>
      </c>
      <c r="S61" s="113">
        <v>0</v>
      </c>
    </row>
    <row r="62" spans="2:19" ht="15.75" thickBot="1">
      <c r="B62" s="53">
        <v>42354</v>
      </c>
      <c r="C62" s="60"/>
      <c r="D62" s="61"/>
      <c r="E62" s="61"/>
      <c r="F62" s="61"/>
      <c r="G62" s="61"/>
      <c r="H62" s="49"/>
      <c r="I62" s="64"/>
      <c r="J62" s="64"/>
      <c r="K62" s="61"/>
      <c r="L62" s="100"/>
      <c r="M62" s="54"/>
      <c r="N62" s="52"/>
      <c r="O62" s="54"/>
      <c r="P62" s="52"/>
      <c r="Q62" s="111"/>
      <c r="R62" s="111">
        <v>2.2400000000000002</v>
      </c>
      <c r="S62" s="113">
        <v>0</v>
      </c>
    </row>
    <row r="63" spans="2:19">
      <c r="B63" s="70" t="s">
        <v>25</v>
      </c>
      <c r="C63" s="57"/>
      <c r="D63" s="58"/>
      <c r="E63" s="58"/>
      <c r="F63" s="58"/>
      <c r="G63" s="58"/>
      <c r="H63" s="59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9"/>
    </row>
    <row r="64" spans="2:19">
      <c r="B64" s="46">
        <v>42375</v>
      </c>
      <c r="C64" s="60"/>
      <c r="D64" s="61"/>
      <c r="E64" s="61"/>
      <c r="F64" s="61"/>
      <c r="G64" s="61"/>
      <c r="H64" s="49"/>
      <c r="I64" s="64"/>
      <c r="J64" s="64"/>
      <c r="K64" s="61"/>
      <c r="L64" s="61"/>
      <c r="M64" s="51"/>
      <c r="N64" s="52"/>
      <c r="O64" s="51"/>
      <c r="P64" s="52"/>
      <c r="Q64" s="111"/>
      <c r="R64" s="111">
        <v>0.41</v>
      </c>
      <c r="S64" s="113">
        <v>0</v>
      </c>
    </row>
    <row r="65" spans="2:22">
      <c r="B65" s="46">
        <v>42368</v>
      </c>
      <c r="C65" s="60"/>
      <c r="D65" s="61"/>
      <c r="E65" s="61"/>
      <c r="F65" s="61"/>
      <c r="G65" s="61"/>
      <c r="H65" s="49"/>
      <c r="I65" s="64"/>
      <c r="J65" s="64"/>
      <c r="K65" s="61"/>
      <c r="L65" s="61"/>
      <c r="M65" s="51"/>
      <c r="N65" s="52"/>
      <c r="O65" s="51"/>
      <c r="P65" s="52"/>
      <c r="Q65" s="111"/>
      <c r="R65" s="111">
        <v>0.47</v>
      </c>
      <c r="S65" s="113">
        <v>0</v>
      </c>
    </row>
    <row r="66" spans="2:22">
      <c r="B66" s="53">
        <v>42361</v>
      </c>
      <c r="C66" s="60"/>
      <c r="D66" s="61"/>
      <c r="E66" s="61"/>
      <c r="F66" s="61"/>
      <c r="G66" s="61"/>
      <c r="H66" s="49"/>
      <c r="I66" s="64"/>
      <c r="J66" s="64"/>
      <c r="K66" s="61"/>
      <c r="L66" s="61"/>
      <c r="M66" s="51"/>
      <c r="N66" s="52"/>
      <c r="O66" s="51"/>
      <c r="P66" s="52"/>
      <c r="Q66" s="111"/>
      <c r="R66" s="111">
        <v>0.45</v>
      </c>
      <c r="S66" s="113">
        <v>0</v>
      </c>
    </row>
    <row r="67" spans="2:22" ht="15.75" thickBot="1">
      <c r="B67" s="91">
        <v>42354</v>
      </c>
      <c r="C67" s="68"/>
      <c r="D67" s="67"/>
      <c r="E67" s="67"/>
      <c r="F67" s="67"/>
      <c r="G67" s="67"/>
      <c r="H67" s="92"/>
      <c r="I67" s="66"/>
      <c r="J67" s="66"/>
      <c r="K67" s="67"/>
      <c r="L67" s="67"/>
      <c r="M67" s="55"/>
      <c r="N67" s="93"/>
      <c r="O67" s="55"/>
      <c r="P67" s="93"/>
      <c r="Q67" s="112"/>
      <c r="R67" s="112">
        <v>0.68</v>
      </c>
      <c r="S67" s="115">
        <v>0</v>
      </c>
    </row>
    <row r="69" spans="2:22">
      <c r="B69" s="187" t="s">
        <v>28</v>
      </c>
      <c r="C69" s="188"/>
      <c r="D69" s="189" t="s">
        <v>29</v>
      </c>
      <c r="E69" s="190"/>
      <c r="F69" s="190"/>
      <c r="G69" s="191"/>
      <c r="H69" s="18"/>
      <c r="I69" s="18"/>
      <c r="J69" s="18"/>
    </row>
    <row r="70" spans="2:22">
      <c r="B70" s="187" t="s">
        <v>30</v>
      </c>
      <c r="C70" s="188"/>
      <c r="D70" s="189" t="s">
        <v>31</v>
      </c>
      <c r="E70" s="190"/>
      <c r="F70" s="190"/>
      <c r="G70" s="191"/>
      <c r="H70" s="18"/>
      <c r="I70" s="18"/>
      <c r="J70" s="18"/>
    </row>
    <row r="72" spans="2:22" ht="15.75" thickBot="1"/>
    <row r="73" spans="2:22" ht="27.75" customHeight="1">
      <c r="B73" s="196" t="s">
        <v>28</v>
      </c>
      <c r="C73" s="197"/>
      <c r="D73" s="203" t="s">
        <v>32</v>
      </c>
      <c r="E73" s="206"/>
      <c r="F73" s="227" t="s">
        <v>33</v>
      </c>
      <c r="G73" s="228"/>
      <c r="H73" s="228"/>
      <c r="I73" s="228"/>
      <c r="J73" s="228"/>
      <c r="K73" s="228"/>
      <c r="L73" s="228"/>
      <c r="M73" s="228"/>
      <c r="N73" s="228"/>
      <c r="O73" s="228"/>
      <c r="P73" s="228"/>
      <c r="Q73" s="229"/>
      <c r="R73" s="229"/>
      <c r="S73" s="230"/>
      <c r="U73" s="17"/>
      <c r="V73" s="17"/>
    </row>
    <row r="74" spans="2:22" ht="27.75" customHeight="1">
      <c r="B74" s="198"/>
      <c r="C74" s="199"/>
      <c r="D74" s="205" t="s">
        <v>5</v>
      </c>
      <c r="E74" s="207"/>
      <c r="F74" s="213" t="s">
        <v>34</v>
      </c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5"/>
      <c r="R74" s="215"/>
      <c r="S74" s="216"/>
    </row>
    <row r="75" spans="2:22" ht="27.75" customHeight="1">
      <c r="B75" s="198"/>
      <c r="C75" s="199"/>
      <c r="D75" s="205" t="s">
        <v>6</v>
      </c>
      <c r="E75" s="207"/>
      <c r="F75" s="213" t="s">
        <v>35</v>
      </c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5"/>
      <c r="R75" s="215"/>
      <c r="S75" s="216"/>
    </row>
    <row r="76" spans="2:22" ht="27.75" customHeight="1">
      <c r="B76" s="198"/>
      <c r="C76" s="199"/>
      <c r="D76" s="205" t="s">
        <v>36</v>
      </c>
      <c r="E76" s="207"/>
      <c r="F76" s="213" t="s">
        <v>37</v>
      </c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5"/>
      <c r="R76" s="215"/>
      <c r="S76" s="216"/>
    </row>
    <row r="77" spans="2:22" ht="27.75" customHeight="1">
      <c r="B77" s="198"/>
      <c r="C77" s="199"/>
      <c r="D77" s="205" t="s">
        <v>38</v>
      </c>
      <c r="E77" s="207"/>
      <c r="F77" s="213" t="s">
        <v>39</v>
      </c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5"/>
      <c r="R77" s="215"/>
      <c r="S77" s="216"/>
    </row>
    <row r="78" spans="2:22" ht="27.75" customHeight="1" thickBot="1">
      <c r="B78" s="200"/>
      <c r="C78" s="201"/>
      <c r="D78" s="194" t="s">
        <v>9</v>
      </c>
      <c r="E78" s="195"/>
      <c r="F78" s="231" t="s">
        <v>40</v>
      </c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3"/>
      <c r="R78" s="233"/>
      <c r="S78" s="234"/>
    </row>
    <row r="79" spans="2:22" ht="27.75" customHeight="1">
      <c r="B79" s="196" t="s">
        <v>30</v>
      </c>
      <c r="C79" s="197"/>
      <c r="D79" s="202" t="s">
        <v>10</v>
      </c>
      <c r="E79" s="203"/>
      <c r="F79" s="227" t="s">
        <v>41</v>
      </c>
      <c r="G79" s="228"/>
      <c r="H79" s="228"/>
      <c r="I79" s="228"/>
      <c r="J79" s="228"/>
      <c r="K79" s="228"/>
      <c r="L79" s="228"/>
      <c r="M79" s="228"/>
      <c r="N79" s="228"/>
      <c r="O79" s="228"/>
      <c r="P79" s="228"/>
      <c r="Q79" s="229"/>
      <c r="R79" s="229"/>
      <c r="S79" s="230"/>
    </row>
    <row r="80" spans="2:22" ht="27.75" customHeight="1">
      <c r="B80" s="198"/>
      <c r="C80" s="199"/>
      <c r="D80" s="204" t="s">
        <v>11</v>
      </c>
      <c r="E80" s="205"/>
      <c r="F80" s="213" t="s">
        <v>42</v>
      </c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5"/>
      <c r="R80" s="215"/>
      <c r="S80" s="216"/>
    </row>
    <row r="81" spans="2:22" ht="27.75" customHeight="1">
      <c r="B81" s="198"/>
      <c r="C81" s="199"/>
      <c r="D81" s="204" t="s">
        <v>12</v>
      </c>
      <c r="E81" s="205"/>
      <c r="F81" s="213" t="s">
        <v>43</v>
      </c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5"/>
      <c r="R81" s="215"/>
      <c r="S81" s="216"/>
    </row>
    <row r="82" spans="2:22" ht="27.75" customHeight="1">
      <c r="B82" s="198"/>
      <c r="C82" s="199"/>
      <c r="D82" s="204" t="s">
        <v>13</v>
      </c>
      <c r="E82" s="205"/>
      <c r="F82" s="213" t="s">
        <v>44</v>
      </c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5"/>
      <c r="R82" s="215"/>
      <c r="S82" s="216"/>
    </row>
    <row r="83" spans="2:22" ht="27.75" customHeight="1">
      <c r="B83" s="198"/>
      <c r="C83" s="199"/>
      <c r="D83" s="204" t="s">
        <v>45</v>
      </c>
      <c r="E83" s="205"/>
      <c r="F83" s="213" t="s">
        <v>46</v>
      </c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5"/>
      <c r="R83" s="215"/>
      <c r="S83" s="216"/>
      <c r="U83" s="17"/>
      <c r="V83" s="17"/>
    </row>
    <row r="84" spans="2:22" ht="27.75" customHeight="1">
      <c r="B84" s="198"/>
      <c r="C84" s="199"/>
      <c r="D84" s="204" t="s">
        <v>47</v>
      </c>
      <c r="E84" s="205"/>
      <c r="F84" s="213" t="s">
        <v>48</v>
      </c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5"/>
      <c r="R84" s="215"/>
      <c r="S84" s="216"/>
    </row>
    <row r="85" spans="2:22" ht="48" customHeight="1">
      <c r="B85" s="198"/>
      <c r="C85" s="199"/>
      <c r="D85" s="204" t="s">
        <v>15</v>
      </c>
      <c r="E85" s="205"/>
      <c r="F85" s="213" t="s">
        <v>49</v>
      </c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5"/>
      <c r="R85" s="215"/>
      <c r="S85" s="216"/>
    </row>
    <row r="86" spans="2:22" ht="27.75" customHeight="1" thickBot="1">
      <c r="B86" s="200"/>
      <c r="C86" s="201"/>
      <c r="D86" s="208" t="s">
        <v>16</v>
      </c>
      <c r="E86" s="194"/>
      <c r="F86" s="217" t="s">
        <v>50</v>
      </c>
      <c r="G86" s="218"/>
      <c r="H86" s="218"/>
      <c r="I86" s="218"/>
      <c r="J86" s="218"/>
      <c r="K86" s="218"/>
      <c r="L86" s="218"/>
      <c r="M86" s="218"/>
      <c r="N86" s="218"/>
      <c r="O86" s="218"/>
      <c r="P86" s="218"/>
      <c r="Q86" s="219"/>
      <c r="R86" s="219"/>
      <c r="S86" s="220"/>
    </row>
    <row r="87" spans="2:22"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92" spans="2:22" ht="16.5" customHeight="1"/>
    <row r="96" spans="2:22" ht="16.5" customHeight="1"/>
    <row r="123" spans="2:19" ht="30" customHeight="1"/>
    <row r="128" spans="2:19" s="19" customFormat="1" ht="27.75" customHeight="1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2:19" s="19" customFormat="1" ht="27.75" customHeight="1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2:19" s="19" customFormat="1" ht="27.75" customHeight="1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2:19" s="19" customFormat="1" ht="27.75" customHeight="1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2:19" s="19" customFormat="1" ht="27.75" customHeight="1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2:19" s="19" customFormat="1" ht="27.75" customHeight="1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2:19" s="19" customFormat="1" ht="27.75" customHeight="1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2:19" s="19" customFormat="1" ht="27.75" customHeight="1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2:19" s="19" customFormat="1" ht="27.75" customHeight="1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2:19" s="19" customFormat="1" ht="27.75" customHeight="1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2:19" s="19" customFormat="1" ht="27.75" customHeight="1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2:19" s="19" customFormat="1" ht="27.75" customHeight="1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2:19" s="19" customFormat="1" ht="41.25" customHeight="1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2:19" s="19" customFormat="1" ht="27.75" customHeight="1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2:19" s="19" customFormat="1" ht="25.5" customHeight="1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</sheetData>
  <mergeCells count="37">
    <mergeCell ref="F75:S75"/>
    <mergeCell ref="D76:E76"/>
    <mergeCell ref="F76:S76"/>
    <mergeCell ref="D77:E77"/>
    <mergeCell ref="B2:S2"/>
    <mergeCell ref="C6:H6"/>
    <mergeCell ref="I6:S6"/>
    <mergeCell ref="B69:C69"/>
    <mergeCell ref="D69:G69"/>
    <mergeCell ref="B70:C70"/>
    <mergeCell ref="D70:G70"/>
    <mergeCell ref="F77:S77"/>
    <mergeCell ref="D78:E78"/>
    <mergeCell ref="F78:S78"/>
    <mergeCell ref="B79:C86"/>
    <mergeCell ref="D79:E79"/>
    <mergeCell ref="F79:S79"/>
    <mergeCell ref="D80:E80"/>
    <mergeCell ref="F80:S80"/>
    <mergeCell ref="D81:E81"/>
    <mergeCell ref="F81:S81"/>
    <mergeCell ref="B73:C78"/>
    <mergeCell ref="D73:E73"/>
    <mergeCell ref="F73:S73"/>
    <mergeCell ref="D74:E74"/>
    <mergeCell ref="F74:S74"/>
    <mergeCell ref="D75:E75"/>
    <mergeCell ref="D85:E85"/>
    <mergeCell ref="F85:S85"/>
    <mergeCell ref="D86:E86"/>
    <mergeCell ref="F86:S86"/>
    <mergeCell ref="D82:E82"/>
    <mergeCell ref="F82:S82"/>
    <mergeCell ref="D83:E83"/>
    <mergeCell ref="F83:S83"/>
    <mergeCell ref="D84:E84"/>
    <mergeCell ref="F84:S84"/>
  </mergeCells>
  <pageMargins left="0.511811024" right="0.511811024" top="0.78740157499999996" bottom="0.78740157499999996" header="0.31496062000000002" footer="0.31496062000000002"/>
  <pageSetup paperSize="9" scale="32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1:U96"/>
  <sheetViews>
    <sheetView showGridLines="0" tabSelected="1" zoomScale="70" zoomScaleNormal="70" workbookViewId="0">
      <selection activeCell="R10" sqref="R10"/>
    </sheetView>
  </sheetViews>
  <sheetFormatPr defaultRowHeight="15"/>
  <cols>
    <col min="1" max="1" width="5.7109375" style="143" customWidth="1"/>
    <col min="2" max="2" width="20" style="143" customWidth="1"/>
    <col min="3" max="3" width="10.28515625" style="143" customWidth="1"/>
    <col min="4" max="4" width="11.85546875" style="143" customWidth="1"/>
    <col min="5" max="5" width="13.42578125" style="143" customWidth="1"/>
    <col min="6" max="6" width="13.5703125" style="143" customWidth="1"/>
    <col min="7" max="7" width="12.140625" style="143" customWidth="1"/>
    <col min="8" max="8" width="15.7109375" style="143" customWidth="1"/>
    <col min="9" max="10" width="11.5703125" style="143" customWidth="1"/>
    <col min="11" max="12" width="13.28515625" style="143" customWidth="1"/>
    <col min="13" max="13" width="16.7109375" style="143" customWidth="1"/>
    <col min="14" max="14" width="12.7109375" style="143" customWidth="1"/>
    <col min="15" max="15" width="14.85546875" style="143" customWidth="1"/>
    <col min="16" max="17" width="14.42578125" style="143" customWidth="1"/>
    <col min="18" max="18" width="14.85546875" style="143" customWidth="1"/>
    <col min="19" max="16384" width="9.140625" style="143"/>
  </cols>
  <sheetData>
    <row r="1" spans="2:21" ht="15.75" thickBot="1"/>
    <row r="2" spans="2:21" s="1" customFormat="1" ht="40.5" customHeight="1" thickBot="1">
      <c r="B2" s="179" t="s">
        <v>98</v>
      </c>
      <c r="C2" s="180"/>
      <c r="D2" s="180"/>
      <c r="E2" s="180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</row>
    <row r="3" spans="2:21" ht="15.75" thickBot="1"/>
    <row r="4" spans="2:21" ht="15.75" thickBot="1">
      <c r="B4" s="2" t="s">
        <v>1</v>
      </c>
      <c r="C4" s="3">
        <f ca="1">TODAY()</f>
        <v>42388</v>
      </c>
      <c r="D4" s="4"/>
      <c r="E4" s="4"/>
      <c r="K4" s="5"/>
      <c r="L4" s="5"/>
      <c r="M4" s="5"/>
      <c r="N4" s="5"/>
      <c r="O4" s="5"/>
    </row>
    <row r="5" spans="2:21" ht="15.75" thickBot="1">
      <c r="B5" s="6"/>
      <c r="C5" s="6"/>
      <c r="D5" s="6"/>
      <c r="E5" s="6"/>
      <c r="G5" s="5"/>
      <c r="H5" s="5"/>
      <c r="I5" s="5"/>
      <c r="J5" s="5"/>
      <c r="K5" s="5"/>
      <c r="L5" s="5"/>
      <c r="M5" s="5"/>
      <c r="N5" s="5"/>
      <c r="O5" s="5"/>
    </row>
    <row r="6" spans="2:21" ht="24" thickBot="1">
      <c r="B6" s="7"/>
      <c r="C6" s="182" t="s">
        <v>2</v>
      </c>
      <c r="D6" s="183"/>
      <c r="E6" s="183"/>
      <c r="F6" s="183"/>
      <c r="G6" s="183"/>
      <c r="H6" s="184"/>
      <c r="I6" s="185" t="s">
        <v>3</v>
      </c>
      <c r="J6" s="185"/>
      <c r="K6" s="185"/>
      <c r="L6" s="185"/>
      <c r="M6" s="185"/>
      <c r="N6" s="185"/>
      <c r="O6" s="185"/>
      <c r="P6" s="185"/>
      <c r="Q6" s="185"/>
      <c r="R6" s="186"/>
    </row>
    <row r="7" spans="2:21" ht="60" customHeight="1" thickBot="1">
      <c r="B7" s="8"/>
      <c r="C7" s="9" t="s">
        <v>4</v>
      </c>
      <c r="D7" s="10" t="s">
        <v>5</v>
      </c>
      <c r="E7" s="11" t="s">
        <v>103</v>
      </c>
      <c r="F7" s="12" t="s">
        <v>7</v>
      </c>
      <c r="G7" s="12" t="s">
        <v>8</v>
      </c>
      <c r="H7" s="13" t="s">
        <v>9</v>
      </c>
      <c r="I7" s="10" t="s">
        <v>10</v>
      </c>
      <c r="J7" s="10" t="s">
        <v>75</v>
      </c>
      <c r="K7" s="12" t="s">
        <v>11</v>
      </c>
      <c r="L7" s="12" t="s">
        <v>76</v>
      </c>
      <c r="M7" s="12" t="s">
        <v>12</v>
      </c>
      <c r="N7" s="12" t="s">
        <v>13</v>
      </c>
      <c r="O7" s="12" t="s">
        <v>14</v>
      </c>
      <c r="P7" s="12" t="s">
        <v>15</v>
      </c>
      <c r="Q7" s="13" t="s">
        <v>16</v>
      </c>
      <c r="R7" s="13" t="s">
        <v>73</v>
      </c>
    </row>
    <row r="8" spans="2:21">
      <c r="B8" s="42" t="s">
        <v>17</v>
      </c>
      <c r="C8" s="43"/>
      <c r="D8" s="44"/>
      <c r="E8" s="44"/>
      <c r="F8" s="44"/>
      <c r="G8" s="44"/>
      <c r="H8" s="45"/>
      <c r="I8" s="44"/>
      <c r="J8" s="44"/>
      <c r="K8" s="44"/>
      <c r="L8" s="44"/>
      <c r="M8" s="44"/>
      <c r="N8" s="44"/>
      <c r="O8" s="44"/>
      <c r="P8" s="44"/>
      <c r="Q8" s="44"/>
      <c r="R8" s="45"/>
      <c r="T8" s="17"/>
      <c r="U8" s="17"/>
    </row>
    <row r="9" spans="2:21">
      <c r="B9" s="174">
        <v>2015</v>
      </c>
      <c r="C9" s="160">
        <v>288604</v>
      </c>
      <c r="D9" s="166">
        <v>65687</v>
      </c>
      <c r="E9" s="166">
        <v>83034</v>
      </c>
      <c r="F9" s="166">
        <v>302693</v>
      </c>
      <c r="G9" s="166">
        <v>627165</v>
      </c>
      <c r="H9" s="49">
        <v>161000000</v>
      </c>
      <c r="I9" s="169">
        <v>255276</v>
      </c>
      <c r="J9" s="169">
        <v>132291</v>
      </c>
      <c r="K9" s="166">
        <v>735913</v>
      </c>
      <c r="L9" s="166">
        <v>209671</v>
      </c>
      <c r="M9" s="51">
        <v>2.8828130000000001</v>
      </c>
      <c r="N9" s="52">
        <v>0.29853499999999999</v>
      </c>
      <c r="O9" s="51">
        <v>57.930540000000001</v>
      </c>
      <c r="P9" s="52">
        <v>3.1307000000000001E-2</v>
      </c>
      <c r="Q9" s="52">
        <v>8.1476999999999994E-2</v>
      </c>
      <c r="R9" s="48">
        <f>((I9+J9)+(K9+L9))/2*(O9*K9)</f>
        <v>28417338386162.797</v>
      </c>
    </row>
    <row r="10" spans="2:21" ht="15.75" thickBot="1">
      <c r="B10" s="174">
        <v>2016</v>
      </c>
      <c r="C10" s="160">
        <v>50273</v>
      </c>
      <c r="D10" s="166">
        <v>8249</v>
      </c>
      <c r="E10" s="166">
        <v>7380</v>
      </c>
      <c r="F10" s="166">
        <v>23607</v>
      </c>
      <c r="G10" s="166">
        <v>18345</v>
      </c>
      <c r="H10" s="49">
        <v>14546973</v>
      </c>
      <c r="I10" s="169">
        <v>7724</v>
      </c>
      <c r="J10" s="169">
        <v>5647</v>
      </c>
      <c r="K10" s="166">
        <v>17207</v>
      </c>
      <c r="L10" s="166">
        <v>8633</v>
      </c>
      <c r="M10" s="51">
        <v>2.227732</v>
      </c>
      <c r="N10" s="52">
        <v>0.15556</v>
      </c>
      <c r="O10" s="51">
        <v>109.8775</v>
      </c>
      <c r="P10" s="52">
        <v>8.7003999999999998E-2</v>
      </c>
      <c r="Q10" s="52">
        <v>0.169015</v>
      </c>
      <c r="R10" s="48">
        <f>((I10+J10)+(K10+L10))/2*(O10*K10)</f>
        <v>37067376634.783752</v>
      </c>
    </row>
    <row r="11" spans="2:21">
      <c r="B11" s="56" t="s">
        <v>25</v>
      </c>
      <c r="C11" s="57"/>
      <c r="D11" s="58"/>
      <c r="E11" s="58"/>
      <c r="F11" s="58"/>
      <c r="G11" s="58"/>
      <c r="H11" s="59"/>
      <c r="I11" s="58"/>
      <c r="J11" s="58"/>
      <c r="K11" s="58"/>
      <c r="L11" s="58"/>
      <c r="M11" s="58"/>
      <c r="N11" s="58"/>
      <c r="O11" s="58"/>
      <c r="P11" s="58"/>
      <c r="Q11" s="58"/>
      <c r="R11" s="59"/>
    </row>
    <row r="12" spans="2:21">
      <c r="B12" s="174">
        <f>$B$9</f>
        <v>2015</v>
      </c>
      <c r="C12" s="60">
        <v>21195</v>
      </c>
      <c r="D12" s="61">
        <v>1965</v>
      </c>
      <c r="E12" s="61">
        <v>812</v>
      </c>
      <c r="F12" s="62">
        <v>5694</v>
      </c>
      <c r="G12" s="62">
        <v>1671</v>
      </c>
      <c r="H12" s="63">
        <v>8524998</v>
      </c>
      <c r="I12" s="64">
        <v>963</v>
      </c>
      <c r="J12" s="64">
        <v>673</v>
      </c>
      <c r="K12" s="61">
        <v>1843</v>
      </c>
      <c r="L12" s="61">
        <v>874</v>
      </c>
      <c r="M12" s="51">
        <v>1.9138109999999999</v>
      </c>
      <c r="N12" s="52">
        <v>9.5186000000000007E-2</v>
      </c>
      <c r="O12" s="51">
        <v>219.48179999999999</v>
      </c>
      <c r="P12" s="52">
        <v>8.1257999999999997E-2</v>
      </c>
      <c r="Q12" s="52">
        <v>0.133932</v>
      </c>
      <c r="R12" s="48">
        <f>((I12+J12)+(K12+L12))/2*(O12*K12)</f>
        <v>880405039.78110003</v>
      </c>
    </row>
    <row r="13" spans="2:21" ht="15.75" thickBot="1">
      <c r="B13" s="174">
        <f>$B$10</f>
        <v>2016</v>
      </c>
      <c r="C13" s="60">
        <v>2412</v>
      </c>
      <c r="D13" s="61">
        <v>251</v>
      </c>
      <c r="E13" s="61">
        <v>60</v>
      </c>
      <c r="F13" s="62">
        <v>569</v>
      </c>
      <c r="G13" s="62">
        <v>126</v>
      </c>
      <c r="H13" s="63">
        <v>1037953</v>
      </c>
      <c r="I13" s="64">
        <v>41</v>
      </c>
      <c r="J13" s="64">
        <v>37</v>
      </c>
      <c r="K13" s="61">
        <v>93</v>
      </c>
      <c r="L13" s="61">
        <v>46</v>
      </c>
      <c r="M13" s="51">
        <v>2.2682929999999999</v>
      </c>
      <c r="N13" s="52">
        <v>6.2026999999999999E-2</v>
      </c>
      <c r="O13" s="51">
        <v>403.30110000000002</v>
      </c>
      <c r="P13" s="52">
        <v>0.23873900000000001</v>
      </c>
      <c r="Q13" s="52">
        <v>0.31531500000000001</v>
      </c>
      <c r="R13" s="48">
        <f>((I13+J13)+(K13+L13))/2*(O13*K13)</f>
        <v>4069509.7495499998</v>
      </c>
    </row>
    <row r="14" spans="2:21">
      <c r="B14" s="56" t="s">
        <v>24</v>
      </c>
      <c r="C14" s="57"/>
      <c r="D14" s="58"/>
      <c r="E14" s="58"/>
      <c r="F14" s="58"/>
      <c r="G14" s="58"/>
      <c r="H14" s="59"/>
      <c r="I14" s="58"/>
      <c r="J14" s="58"/>
      <c r="K14" s="58"/>
      <c r="L14" s="58"/>
      <c r="M14" s="58"/>
      <c r="N14" s="58"/>
      <c r="O14" s="58"/>
      <c r="P14" s="58"/>
      <c r="Q14" s="58"/>
      <c r="R14" s="59"/>
      <c r="T14" s="17"/>
      <c r="U14" s="17"/>
    </row>
    <row r="15" spans="2:21">
      <c r="B15" s="174">
        <f>$B$9</f>
        <v>2015</v>
      </c>
      <c r="C15" s="60">
        <v>9327</v>
      </c>
      <c r="D15" s="61">
        <v>1388</v>
      </c>
      <c r="E15" s="61">
        <v>2151</v>
      </c>
      <c r="F15" s="61">
        <v>6138</v>
      </c>
      <c r="G15" s="61">
        <v>8032</v>
      </c>
      <c r="H15" s="63">
        <v>4805830</v>
      </c>
      <c r="I15" s="64">
        <v>4698</v>
      </c>
      <c r="J15" s="64">
        <v>1016</v>
      </c>
      <c r="K15" s="61">
        <v>13533</v>
      </c>
      <c r="L15" s="61">
        <v>1344</v>
      </c>
      <c r="M15" s="51">
        <v>2.8805869999999998</v>
      </c>
      <c r="N15" s="52">
        <v>0.16434000000000001</v>
      </c>
      <c r="O15" s="51">
        <v>48.194929999999999</v>
      </c>
      <c r="P15" s="52">
        <v>1.9972E-2</v>
      </c>
      <c r="Q15" s="52">
        <v>2.8941999999999999E-2</v>
      </c>
      <c r="R15" s="48">
        <f t="shared" ref="R15:R16" si="0">((I15+J15)+(K15+L15))/2*(O15*K15)</f>
        <v>6714951474.2623949</v>
      </c>
    </row>
    <row r="16" spans="2:21" ht="15.75" thickBot="1">
      <c r="B16" s="174">
        <f>$B$10</f>
        <v>2016</v>
      </c>
      <c r="C16" s="60">
        <v>1762</v>
      </c>
      <c r="D16" s="61">
        <v>260</v>
      </c>
      <c r="E16" s="61">
        <v>78</v>
      </c>
      <c r="F16" s="61">
        <v>663</v>
      </c>
      <c r="G16" s="61">
        <v>313</v>
      </c>
      <c r="H16" s="63">
        <v>410425</v>
      </c>
      <c r="I16" s="64">
        <v>173</v>
      </c>
      <c r="J16" s="64">
        <v>75</v>
      </c>
      <c r="K16" s="61">
        <v>201</v>
      </c>
      <c r="L16" s="61">
        <v>88</v>
      </c>
      <c r="M16" s="51">
        <v>1.16185</v>
      </c>
      <c r="N16" s="52">
        <v>0.11626300000000001</v>
      </c>
      <c r="O16" s="51">
        <v>72.746269999999996</v>
      </c>
      <c r="P16" s="52">
        <v>0.153584</v>
      </c>
      <c r="Q16" s="52">
        <v>0.156997</v>
      </c>
      <c r="R16" s="48">
        <f t="shared" si="0"/>
        <v>3926007.0724949995</v>
      </c>
    </row>
    <row r="17" spans="2:21">
      <c r="B17" s="56" t="s">
        <v>23</v>
      </c>
      <c r="C17" s="57"/>
      <c r="D17" s="58"/>
      <c r="E17" s="58"/>
      <c r="F17" s="58"/>
      <c r="G17" s="58"/>
      <c r="H17" s="59"/>
      <c r="I17" s="58"/>
      <c r="J17" s="58"/>
      <c r="K17" s="58"/>
      <c r="L17" s="58"/>
      <c r="M17" s="58"/>
      <c r="N17" s="58"/>
      <c r="O17" s="58"/>
      <c r="P17" s="58"/>
      <c r="Q17" s="58"/>
      <c r="R17" s="59"/>
    </row>
    <row r="18" spans="2:21">
      <c r="B18" s="46">
        <f>$B$9</f>
        <v>2015</v>
      </c>
      <c r="C18" s="60">
        <v>8989</v>
      </c>
      <c r="D18" s="61">
        <v>2178</v>
      </c>
      <c r="E18" s="61">
        <v>1421</v>
      </c>
      <c r="F18" s="61">
        <v>8917</v>
      </c>
      <c r="G18" s="61">
        <v>12095</v>
      </c>
      <c r="H18" s="63">
        <v>3031942</v>
      </c>
      <c r="I18" s="64">
        <v>5392</v>
      </c>
      <c r="J18" s="64">
        <v>1729</v>
      </c>
      <c r="K18" s="61">
        <v>13284</v>
      </c>
      <c r="L18" s="61">
        <v>1821</v>
      </c>
      <c r="M18" s="51">
        <v>2.4636499999999999</v>
      </c>
      <c r="N18" s="52">
        <v>0.12982399999999999</v>
      </c>
      <c r="O18" s="51">
        <v>21.425319999999999</v>
      </c>
      <c r="P18" s="52">
        <v>2.2794999999999999E-2</v>
      </c>
      <c r="Q18" s="52">
        <v>4.2046E-2</v>
      </c>
      <c r="R18" s="48">
        <f t="shared" ref="R18:R19" si="1">((I18+J18)+(K18+L18))/2*(O18*K18)</f>
        <v>3162914836.1294403</v>
      </c>
    </row>
    <row r="19" spans="2:21" ht="15.75" thickBot="1">
      <c r="B19" s="174">
        <f>$B$10</f>
        <v>2016</v>
      </c>
      <c r="C19" s="60">
        <v>1185</v>
      </c>
      <c r="D19" s="61">
        <v>219</v>
      </c>
      <c r="E19" s="61">
        <v>150</v>
      </c>
      <c r="F19" s="61">
        <v>541</v>
      </c>
      <c r="G19" s="61">
        <v>370</v>
      </c>
      <c r="H19" s="63">
        <v>100461</v>
      </c>
      <c r="I19" s="64">
        <v>180</v>
      </c>
      <c r="J19" s="64">
        <v>137</v>
      </c>
      <c r="K19" s="61">
        <v>352</v>
      </c>
      <c r="L19" s="61">
        <v>175</v>
      </c>
      <c r="M19" s="51">
        <v>1.9555560000000001</v>
      </c>
      <c r="N19" s="52">
        <v>0.176817</v>
      </c>
      <c r="O19" s="51">
        <v>63.957389999999997</v>
      </c>
      <c r="P19" s="52">
        <v>7.5269000000000003E-2</v>
      </c>
      <c r="Q19" s="52">
        <v>0.14408599999999999</v>
      </c>
      <c r="R19" s="48">
        <f t="shared" si="1"/>
        <v>9500486.5401600003</v>
      </c>
    </row>
    <row r="20" spans="2:21">
      <c r="B20" s="70" t="s">
        <v>27</v>
      </c>
      <c r="C20" s="57"/>
      <c r="D20" s="58"/>
      <c r="E20" s="58"/>
      <c r="F20" s="58"/>
      <c r="G20" s="58"/>
      <c r="H20" s="59"/>
      <c r="I20" s="58"/>
      <c r="J20" s="58"/>
      <c r="K20" s="58"/>
      <c r="L20" s="58"/>
      <c r="M20" s="58"/>
      <c r="N20" s="58"/>
      <c r="O20" s="58"/>
      <c r="P20" s="58"/>
      <c r="Q20" s="58"/>
      <c r="R20" s="59"/>
      <c r="T20" s="17"/>
      <c r="U20" s="17"/>
    </row>
    <row r="21" spans="2:21">
      <c r="B21" s="174">
        <f>$B$9</f>
        <v>2015</v>
      </c>
      <c r="C21" s="60">
        <v>32008</v>
      </c>
      <c r="D21" s="61">
        <v>5911</v>
      </c>
      <c r="E21" s="61">
        <v>5309</v>
      </c>
      <c r="F21" s="61">
        <v>19250</v>
      </c>
      <c r="G21" s="61">
        <v>71904</v>
      </c>
      <c r="H21" s="63">
        <v>18326912</v>
      </c>
      <c r="I21" s="71">
        <v>33724</v>
      </c>
      <c r="J21" s="71">
        <v>20214</v>
      </c>
      <c r="K21" s="62">
        <v>87207</v>
      </c>
      <c r="L21" s="62">
        <v>41164</v>
      </c>
      <c r="M21" s="51">
        <v>2.5859030000000001</v>
      </c>
      <c r="N21" s="52">
        <v>0.185194</v>
      </c>
      <c r="O21" s="51">
        <v>38.043979999999998</v>
      </c>
      <c r="P21" s="52">
        <v>2.648E-2</v>
      </c>
      <c r="Q21" s="52">
        <v>0.13206200000000001</v>
      </c>
      <c r="R21" s="48">
        <f t="shared" ref="R21:R22" si="2">((I21+J21)+(K21+L21))/2*(O21*K21)</f>
        <v>302423408971.97638</v>
      </c>
    </row>
    <row r="22" spans="2:21" ht="15.75" thickBot="1">
      <c r="B22" s="174">
        <f>$B$10</f>
        <v>2016</v>
      </c>
      <c r="C22" s="60">
        <v>1074</v>
      </c>
      <c r="D22" s="61">
        <v>138</v>
      </c>
      <c r="E22" s="61">
        <v>60</v>
      </c>
      <c r="F22" s="61">
        <v>285</v>
      </c>
      <c r="G22" s="61">
        <v>100</v>
      </c>
      <c r="H22" s="63">
        <v>233240</v>
      </c>
      <c r="I22" s="71">
        <v>47</v>
      </c>
      <c r="J22" s="71">
        <v>39</v>
      </c>
      <c r="K22" s="62">
        <v>66</v>
      </c>
      <c r="L22" s="62">
        <v>46</v>
      </c>
      <c r="M22" s="51">
        <v>1.404255</v>
      </c>
      <c r="N22" s="52">
        <v>4.9318000000000001E-2</v>
      </c>
      <c r="O22" s="51">
        <v>241.803</v>
      </c>
      <c r="P22" s="52">
        <v>0.22556399999999999</v>
      </c>
      <c r="Q22" s="52">
        <v>0.24812000000000001</v>
      </c>
      <c r="R22" s="48">
        <f t="shared" si="2"/>
        <v>1579940.8019999999</v>
      </c>
    </row>
    <row r="23" spans="2:21">
      <c r="B23" s="70" t="s">
        <v>19</v>
      </c>
      <c r="C23" s="57"/>
      <c r="D23" s="58"/>
      <c r="E23" s="58"/>
      <c r="F23" s="58"/>
      <c r="G23" s="58"/>
      <c r="H23" s="59"/>
      <c r="I23" s="58"/>
      <c r="J23" s="58"/>
      <c r="K23" s="58"/>
      <c r="L23" s="58"/>
      <c r="M23" s="58"/>
      <c r="N23" s="58"/>
      <c r="O23" s="58"/>
      <c r="P23" s="58"/>
      <c r="Q23" s="58"/>
      <c r="R23" s="59"/>
    </row>
    <row r="24" spans="2:21">
      <c r="B24" s="174">
        <f>$B$9</f>
        <v>2015</v>
      </c>
      <c r="C24" s="60">
        <v>10798</v>
      </c>
      <c r="D24" s="61">
        <v>2726</v>
      </c>
      <c r="E24" s="61">
        <v>1657</v>
      </c>
      <c r="F24" s="61">
        <v>13529</v>
      </c>
      <c r="G24" s="61">
        <v>52474</v>
      </c>
      <c r="H24" s="49">
        <v>8428609</v>
      </c>
      <c r="I24" s="64">
        <v>19200</v>
      </c>
      <c r="J24" s="64">
        <v>3342</v>
      </c>
      <c r="K24" s="61">
        <v>54921</v>
      </c>
      <c r="L24" s="61">
        <v>2968</v>
      </c>
      <c r="M24" s="51">
        <v>2.8604690000000002</v>
      </c>
      <c r="N24" s="52">
        <v>0.33156600000000003</v>
      </c>
      <c r="O24" s="51">
        <v>34.220350000000003</v>
      </c>
      <c r="P24" s="52">
        <v>1.6736999999999998E-2</v>
      </c>
      <c r="Q24" s="52">
        <v>3.6066000000000001E-2</v>
      </c>
      <c r="R24" s="48">
        <f t="shared" ref="R24:R25" si="3">((I24+J24)+(K24+L24))/2*(O24*K24)</f>
        <v>75581647808.026443</v>
      </c>
    </row>
    <row r="25" spans="2:21" ht="15.75" thickBot="1">
      <c r="B25" s="174">
        <f>$B$10</f>
        <v>2016</v>
      </c>
      <c r="C25" s="60">
        <v>1566</v>
      </c>
      <c r="D25" s="61">
        <v>315</v>
      </c>
      <c r="E25" s="61">
        <v>175</v>
      </c>
      <c r="F25" s="61">
        <v>1004</v>
      </c>
      <c r="G25" s="61">
        <v>645</v>
      </c>
      <c r="H25" s="49">
        <v>663141</v>
      </c>
      <c r="I25" s="64">
        <v>389</v>
      </c>
      <c r="J25" s="64">
        <v>164</v>
      </c>
      <c r="K25" s="61">
        <v>839</v>
      </c>
      <c r="L25" s="61">
        <v>219</v>
      </c>
      <c r="M25" s="51">
        <v>2.156812</v>
      </c>
      <c r="N25" s="52">
        <v>0.16883699999999999</v>
      </c>
      <c r="O25" s="51">
        <v>108.53870000000001</v>
      </c>
      <c r="P25" s="52">
        <v>3.1659E-2</v>
      </c>
      <c r="Q25" s="52">
        <v>4.4760000000000001E-2</v>
      </c>
      <c r="R25" s="48">
        <f t="shared" si="3"/>
        <v>73352027.271150008</v>
      </c>
    </row>
    <row r="26" spans="2:21">
      <c r="B26" s="70" t="s">
        <v>20</v>
      </c>
      <c r="C26" s="57"/>
      <c r="D26" s="58"/>
      <c r="E26" s="58"/>
      <c r="F26" s="58"/>
      <c r="G26" s="58"/>
      <c r="H26" s="59"/>
      <c r="I26" s="58"/>
      <c r="J26" s="58"/>
      <c r="K26" s="58"/>
      <c r="L26" s="58"/>
      <c r="M26" s="58"/>
      <c r="N26" s="58"/>
      <c r="O26" s="58"/>
      <c r="P26" s="58"/>
      <c r="Q26" s="58"/>
      <c r="R26" s="59"/>
    </row>
    <row r="27" spans="2:21">
      <c r="B27" s="174">
        <f>$B$9</f>
        <v>2015</v>
      </c>
      <c r="C27" s="60">
        <v>30117</v>
      </c>
      <c r="D27" s="61">
        <v>7555</v>
      </c>
      <c r="E27" s="61">
        <v>12842</v>
      </c>
      <c r="F27" s="61">
        <v>32756</v>
      </c>
      <c r="G27" s="61">
        <v>57653</v>
      </c>
      <c r="H27" s="49">
        <v>8977933</v>
      </c>
      <c r="I27" s="64">
        <v>19080</v>
      </c>
      <c r="J27" s="64">
        <v>10853</v>
      </c>
      <c r="K27" s="61">
        <v>54162</v>
      </c>
      <c r="L27" s="61">
        <v>18210</v>
      </c>
      <c r="M27" s="51">
        <v>2.838679</v>
      </c>
      <c r="N27" s="52">
        <v>0.355182</v>
      </c>
      <c r="O27" s="51">
        <v>44.610520000000001</v>
      </c>
      <c r="P27" s="52">
        <v>2.7085999999999999E-2</v>
      </c>
      <c r="Q27" s="52">
        <v>6.0444999999999999E-2</v>
      </c>
      <c r="R27" s="48">
        <f t="shared" ref="R27:R28" si="4">((I27+J27)+(K27+L27))/2*(O27*K27)</f>
        <v>123594413931.33661</v>
      </c>
    </row>
    <row r="28" spans="2:21" ht="15.75" thickBot="1">
      <c r="B28" s="174">
        <f>$B$10</f>
        <v>2016</v>
      </c>
      <c r="C28" s="60">
        <v>2897</v>
      </c>
      <c r="D28" s="61">
        <v>668</v>
      </c>
      <c r="E28" s="61">
        <v>584</v>
      </c>
      <c r="F28" s="61">
        <v>1935</v>
      </c>
      <c r="G28" s="61">
        <v>1709</v>
      </c>
      <c r="H28" s="49">
        <v>727267</v>
      </c>
      <c r="I28" s="64">
        <v>773</v>
      </c>
      <c r="J28" s="64">
        <v>472</v>
      </c>
      <c r="K28" s="61">
        <v>1639</v>
      </c>
      <c r="L28" s="61">
        <v>675</v>
      </c>
      <c r="M28" s="51">
        <v>2.1203099999999999</v>
      </c>
      <c r="N28" s="52">
        <v>0.15562699999999999</v>
      </c>
      <c r="O28" s="51">
        <v>36.96949</v>
      </c>
      <c r="P28" s="52">
        <v>6.3500000000000001E-2</v>
      </c>
      <c r="Q28" s="52">
        <v>0.133301</v>
      </c>
      <c r="R28" s="48">
        <f t="shared" si="4"/>
        <v>107825233.01874501</v>
      </c>
    </row>
    <row r="29" spans="2:21">
      <c r="B29" s="70" t="s">
        <v>26</v>
      </c>
      <c r="C29" s="57"/>
      <c r="D29" s="58"/>
      <c r="E29" s="58"/>
      <c r="F29" s="58"/>
      <c r="G29" s="58"/>
      <c r="H29" s="59"/>
      <c r="I29" s="58"/>
      <c r="J29" s="58"/>
      <c r="K29" s="58"/>
      <c r="L29" s="58"/>
      <c r="M29" s="58"/>
      <c r="N29" s="58"/>
      <c r="O29" s="58"/>
      <c r="P29" s="58"/>
      <c r="Q29" s="58"/>
      <c r="R29" s="59"/>
    </row>
    <row r="30" spans="2:21">
      <c r="B30" s="174">
        <f>$B$9</f>
        <v>2015</v>
      </c>
      <c r="C30" s="60">
        <v>46527</v>
      </c>
      <c r="D30" s="61">
        <v>15393</v>
      </c>
      <c r="E30" s="61">
        <v>21199</v>
      </c>
      <c r="F30" s="61">
        <v>46597</v>
      </c>
      <c r="G30" s="61">
        <v>86867</v>
      </c>
      <c r="H30" s="49">
        <v>27437717</v>
      </c>
      <c r="I30" s="64">
        <v>53275</v>
      </c>
      <c r="J30" s="64">
        <v>20838</v>
      </c>
      <c r="K30" s="61">
        <v>161789</v>
      </c>
      <c r="L30" s="61">
        <v>29998</v>
      </c>
      <c r="M30" s="51">
        <v>3.0368650000000001</v>
      </c>
      <c r="N30" s="52">
        <v>0.32103199999999998</v>
      </c>
      <c r="O30" s="51">
        <v>36.887239999999998</v>
      </c>
      <c r="P30" s="52">
        <v>1.6067000000000001E-2</v>
      </c>
      <c r="Q30" s="52">
        <v>2.7785000000000001E-2</v>
      </c>
      <c r="R30" s="48">
        <f t="shared" ref="R30:R31" si="5">((I30+J30)+(K30+L30))/2*(O30*K30)</f>
        <v>793438908940.26208</v>
      </c>
    </row>
    <row r="31" spans="2:21" ht="15.75" thickBot="1">
      <c r="B31" s="174">
        <f>$B$10</f>
        <v>2016</v>
      </c>
      <c r="C31" s="60">
        <v>4642</v>
      </c>
      <c r="D31" s="61">
        <v>927</v>
      </c>
      <c r="E31" s="61">
        <v>444</v>
      </c>
      <c r="F31" s="61">
        <v>2491</v>
      </c>
      <c r="G31" s="61">
        <v>1503</v>
      </c>
      <c r="H31" s="49">
        <v>1536344</v>
      </c>
      <c r="I31" s="64">
        <v>795</v>
      </c>
      <c r="J31" s="64">
        <v>428</v>
      </c>
      <c r="K31" s="61">
        <v>1308</v>
      </c>
      <c r="L31" s="61">
        <v>503</v>
      </c>
      <c r="M31" s="51">
        <v>1.6452830000000001</v>
      </c>
      <c r="N31" s="52">
        <v>7.5142E-2</v>
      </c>
      <c r="O31" s="51">
        <v>40.77599</v>
      </c>
      <c r="P31" s="52">
        <v>0.17593</v>
      </c>
      <c r="Q31" s="52">
        <v>0.21451500000000001</v>
      </c>
      <c r="R31" s="48">
        <f t="shared" si="5"/>
        <v>80909187.293640003</v>
      </c>
    </row>
    <row r="32" spans="2:21">
      <c r="B32" s="70" t="s">
        <v>18</v>
      </c>
      <c r="C32" s="57"/>
      <c r="D32" s="58"/>
      <c r="E32" s="58"/>
      <c r="F32" s="58"/>
      <c r="G32" s="58"/>
      <c r="H32" s="59"/>
      <c r="I32" s="58"/>
      <c r="J32" s="58"/>
      <c r="K32" s="58"/>
      <c r="L32" s="58"/>
      <c r="M32" s="58"/>
      <c r="N32" s="58"/>
      <c r="O32" s="58"/>
      <c r="P32" s="58"/>
      <c r="Q32" s="58"/>
      <c r="R32" s="59"/>
    </row>
    <row r="33" spans="2:18">
      <c r="B33" s="174">
        <f>$B$9</f>
        <v>2015</v>
      </c>
      <c r="C33" s="60">
        <v>31512</v>
      </c>
      <c r="D33" s="61">
        <v>5440</v>
      </c>
      <c r="E33" s="61">
        <v>7027</v>
      </c>
      <c r="F33" s="61">
        <v>37795</v>
      </c>
      <c r="G33" s="61">
        <v>88976</v>
      </c>
      <c r="H33" s="72">
        <v>14935116</v>
      </c>
      <c r="I33" s="64">
        <v>33060</v>
      </c>
      <c r="J33" s="64">
        <v>12801</v>
      </c>
      <c r="K33" s="61">
        <v>113208</v>
      </c>
      <c r="L33" s="61">
        <v>13044</v>
      </c>
      <c r="M33" s="51">
        <v>3.4243190000000001</v>
      </c>
      <c r="N33" s="52">
        <v>0.49831900000000001</v>
      </c>
      <c r="O33" s="51">
        <v>61.428600000000003</v>
      </c>
      <c r="P33" s="52">
        <v>1.9272999999999998E-2</v>
      </c>
      <c r="Q33" s="52">
        <v>4.2192E-2</v>
      </c>
      <c r="R33" s="48">
        <f t="shared" ref="R33:R34" si="6">((I33+J33)+(K33+L33))/2*(O33*K33)</f>
        <v>598454882402.40723</v>
      </c>
    </row>
    <row r="34" spans="2:18" ht="15.75" thickBot="1">
      <c r="B34" s="174">
        <f>$B$10</f>
        <v>2016</v>
      </c>
      <c r="C34" s="60">
        <v>5498</v>
      </c>
      <c r="D34" s="61">
        <v>797</v>
      </c>
      <c r="E34" s="61">
        <v>822</v>
      </c>
      <c r="F34" s="61">
        <v>2766</v>
      </c>
      <c r="G34" s="61">
        <v>3025</v>
      </c>
      <c r="H34" s="72">
        <v>1263795</v>
      </c>
      <c r="I34" s="64">
        <v>1183</v>
      </c>
      <c r="J34" s="64">
        <v>840</v>
      </c>
      <c r="K34" s="61">
        <v>3635</v>
      </c>
      <c r="L34" s="61">
        <v>1078</v>
      </c>
      <c r="M34" s="51">
        <v>3.0726969999999998</v>
      </c>
      <c r="N34" s="52">
        <v>0.286997</v>
      </c>
      <c r="O34" s="51">
        <v>95.746080000000006</v>
      </c>
      <c r="P34" s="52">
        <v>4.5920999999999997E-2</v>
      </c>
      <c r="Q34" s="52">
        <v>0.12884499999999999</v>
      </c>
      <c r="R34" s="48">
        <f t="shared" si="6"/>
        <v>1172188618.6944001</v>
      </c>
    </row>
    <row r="35" spans="2:18">
      <c r="B35" s="70" t="s">
        <v>21</v>
      </c>
      <c r="C35" s="57"/>
      <c r="D35" s="58"/>
      <c r="E35" s="58"/>
      <c r="F35" s="58"/>
      <c r="G35" s="58"/>
      <c r="H35" s="59"/>
      <c r="I35" s="58"/>
      <c r="J35" s="58"/>
      <c r="K35" s="58"/>
      <c r="L35" s="58"/>
      <c r="M35" s="58"/>
      <c r="N35" s="58"/>
      <c r="O35" s="58"/>
      <c r="P35" s="58"/>
      <c r="Q35" s="58"/>
      <c r="R35" s="59"/>
    </row>
    <row r="36" spans="2:18">
      <c r="B36" s="174">
        <f>$B$9</f>
        <v>2015</v>
      </c>
      <c r="C36" s="60">
        <v>22150</v>
      </c>
      <c r="D36" s="61">
        <v>7021</v>
      </c>
      <c r="E36" s="61">
        <v>8380</v>
      </c>
      <c r="F36" s="61">
        <v>44832</v>
      </c>
      <c r="G36" s="61">
        <v>89576</v>
      </c>
      <c r="H36" s="49">
        <v>14654432</v>
      </c>
      <c r="I36" s="64">
        <v>33274</v>
      </c>
      <c r="J36" s="64">
        <v>18714</v>
      </c>
      <c r="K36" s="61">
        <v>92063</v>
      </c>
      <c r="L36" s="61">
        <v>21945</v>
      </c>
      <c r="M36" s="51">
        <v>2.7668149999999998</v>
      </c>
      <c r="N36" s="52">
        <v>0.433583</v>
      </c>
      <c r="O36" s="51">
        <v>46.696399999999997</v>
      </c>
      <c r="P36" s="52">
        <v>2.7932999999999999E-2</v>
      </c>
      <c r="Q36" s="52">
        <v>5.7135999999999999E-2</v>
      </c>
      <c r="R36" s="48">
        <f t="shared" ref="R36:R37" si="7">((I36+J36)+(K36+L36))/2*(O36*K36)</f>
        <v>356809287854.2536</v>
      </c>
    </row>
    <row r="37" spans="2:18" ht="15.75" thickBot="1">
      <c r="B37" s="174">
        <f>$B$10</f>
        <v>2016</v>
      </c>
      <c r="C37" s="60">
        <v>4423</v>
      </c>
      <c r="D37" s="61">
        <v>1021</v>
      </c>
      <c r="E37" s="61">
        <v>1430</v>
      </c>
      <c r="F37" s="61">
        <v>2837</v>
      </c>
      <c r="G37" s="61">
        <v>2743</v>
      </c>
      <c r="H37" s="49">
        <v>1061060</v>
      </c>
      <c r="I37" s="64">
        <v>1162</v>
      </c>
      <c r="J37" s="64">
        <v>1033</v>
      </c>
      <c r="K37" s="61">
        <v>2797</v>
      </c>
      <c r="L37" s="61">
        <v>1642</v>
      </c>
      <c r="M37" s="51">
        <v>2.407057</v>
      </c>
      <c r="N37" s="52">
        <v>0.32834099999999999</v>
      </c>
      <c r="O37" s="54">
        <v>111.6564</v>
      </c>
      <c r="P37" s="52">
        <v>7.4822E-2</v>
      </c>
      <c r="Q37" s="52">
        <v>0.15604199999999999</v>
      </c>
      <c r="R37" s="48">
        <f t="shared" si="7"/>
        <v>1035908887.8036</v>
      </c>
    </row>
    <row r="38" spans="2:18">
      <c r="B38" s="70" t="s">
        <v>72</v>
      </c>
      <c r="C38" s="57"/>
      <c r="D38" s="58"/>
      <c r="E38" s="58"/>
      <c r="F38" s="58"/>
      <c r="G38" s="58"/>
      <c r="H38" s="59"/>
      <c r="I38" s="58"/>
      <c r="J38" s="58"/>
      <c r="K38" s="58"/>
      <c r="L38" s="58"/>
      <c r="M38" s="58"/>
      <c r="N38" s="58"/>
      <c r="O38" s="58"/>
      <c r="P38" s="58"/>
      <c r="Q38" s="58"/>
      <c r="R38" s="59"/>
    </row>
    <row r="39" spans="2:18">
      <c r="B39" s="174">
        <f>$B$9</f>
        <v>2015</v>
      </c>
      <c r="C39" s="60">
        <v>53213</v>
      </c>
      <c r="D39" s="61">
        <v>12977</v>
      </c>
      <c r="E39" s="61">
        <v>17632</v>
      </c>
      <c r="F39" s="61">
        <v>77671</v>
      </c>
      <c r="G39" s="61">
        <v>123864</v>
      </c>
      <c r="H39" s="49">
        <v>40337088</v>
      </c>
      <c r="I39" s="64">
        <v>39320</v>
      </c>
      <c r="J39" s="64">
        <v>36645</v>
      </c>
      <c r="K39" s="61">
        <v>100827</v>
      </c>
      <c r="L39" s="61">
        <v>70580</v>
      </c>
      <c r="M39" s="51">
        <v>2.5642680000000002</v>
      </c>
      <c r="N39" s="52">
        <v>0.35962499999999997</v>
      </c>
      <c r="O39" s="51">
        <v>129.48330000000001</v>
      </c>
      <c r="P39" s="52">
        <v>6.9834999999999994E-2</v>
      </c>
      <c r="Q39" s="52">
        <v>0.19420599999999999</v>
      </c>
      <c r="R39" s="48">
        <f t="shared" ref="R39:R40" si="8">((I39+J39)+(K39+L39))/2*(O39*K39)</f>
        <v>1614771773864.0227</v>
      </c>
    </row>
    <row r="40" spans="2:18" ht="15.75" thickBot="1">
      <c r="B40" s="174">
        <f>$B$10</f>
        <v>2016</v>
      </c>
      <c r="C40" s="60">
        <v>20311</v>
      </c>
      <c r="D40" s="61">
        <v>3135</v>
      </c>
      <c r="E40" s="61">
        <v>3310</v>
      </c>
      <c r="F40" s="61">
        <v>9280</v>
      </c>
      <c r="G40" s="61">
        <v>7365</v>
      </c>
      <c r="H40" s="49">
        <v>6640766</v>
      </c>
      <c r="I40" s="64">
        <v>2828</v>
      </c>
      <c r="J40" s="64">
        <v>2289</v>
      </c>
      <c r="K40" s="61">
        <v>5992</v>
      </c>
      <c r="L40" s="61">
        <v>3971</v>
      </c>
      <c r="M40" s="51">
        <v>2.1188120000000001</v>
      </c>
      <c r="N40" s="52">
        <v>0.16836300000000001</v>
      </c>
      <c r="O40" s="51">
        <v>133.5087</v>
      </c>
      <c r="P40" s="52">
        <v>9.0018000000000001E-2</v>
      </c>
      <c r="Q40" s="52">
        <v>0.19705</v>
      </c>
      <c r="R40" s="48">
        <f t="shared" si="8"/>
        <v>6031880343.2160006</v>
      </c>
    </row>
    <row r="41" spans="2:18">
      <c r="B41" s="70" t="s">
        <v>22</v>
      </c>
      <c r="C41" s="57"/>
      <c r="D41" s="58"/>
      <c r="E41" s="58"/>
      <c r="F41" s="58"/>
      <c r="G41" s="58"/>
      <c r="H41" s="59"/>
      <c r="I41" s="58"/>
      <c r="J41" s="58"/>
      <c r="K41" s="58"/>
      <c r="L41" s="58"/>
      <c r="M41" s="58"/>
      <c r="N41" s="58"/>
      <c r="O41" s="58"/>
      <c r="P41" s="58"/>
      <c r="Q41" s="58"/>
      <c r="R41" s="59"/>
    </row>
    <row r="42" spans="2:18">
      <c r="B42" s="174">
        <f>$B$9</f>
        <v>2015</v>
      </c>
      <c r="C42" s="60">
        <v>22768</v>
      </c>
      <c r="D42" s="61">
        <v>3133</v>
      </c>
      <c r="E42" s="61">
        <v>4604</v>
      </c>
      <c r="F42" s="61">
        <v>9514</v>
      </c>
      <c r="G42" s="61">
        <v>34053</v>
      </c>
      <c r="H42" s="49">
        <v>11323615</v>
      </c>
      <c r="I42" s="64">
        <v>13290</v>
      </c>
      <c r="J42" s="64">
        <v>5466</v>
      </c>
      <c r="K42" s="61">
        <v>43076</v>
      </c>
      <c r="L42" s="61">
        <v>7723</v>
      </c>
      <c r="M42" s="51">
        <v>3.2412339999999999</v>
      </c>
      <c r="N42" s="52">
        <v>0.211756</v>
      </c>
      <c r="O42" s="51">
        <v>78.94435</v>
      </c>
      <c r="P42" s="52">
        <v>3.9822000000000003E-2</v>
      </c>
      <c r="Q42" s="52">
        <v>6.9373000000000004E-2</v>
      </c>
      <c r="R42" s="48">
        <f t="shared" ref="R42:R43" si="9">((I42+J42)+(K42+L42))/2*(O42*K42)</f>
        <v>118264603703.4165</v>
      </c>
    </row>
    <row r="43" spans="2:18">
      <c r="B43" s="174">
        <f>$B$10</f>
        <v>2016</v>
      </c>
      <c r="C43" s="60">
        <v>4503</v>
      </c>
      <c r="D43" s="61">
        <v>518</v>
      </c>
      <c r="E43" s="61">
        <v>267</v>
      </c>
      <c r="F43" s="61">
        <v>1236</v>
      </c>
      <c r="G43" s="61">
        <v>446</v>
      </c>
      <c r="H43" s="49">
        <v>872521</v>
      </c>
      <c r="I43" s="64">
        <v>153</v>
      </c>
      <c r="J43" s="64">
        <v>133</v>
      </c>
      <c r="K43" s="61">
        <v>285</v>
      </c>
      <c r="L43" s="61">
        <v>190</v>
      </c>
      <c r="M43" s="51">
        <v>1.8627450000000001</v>
      </c>
      <c r="N43" s="52">
        <v>4.7456999999999999E-2</v>
      </c>
      <c r="O43" s="51">
        <v>472.79300000000001</v>
      </c>
      <c r="P43" s="52">
        <v>0.17300399999999999</v>
      </c>
      <c r="Q43" s="52">
        <v>0.23193900000000001</v>
      </c>
      <c r="R43" s="48">
        <f t="shared" si="9"/>
        <v>51270854.902500004</v>
      </c>
    </row>
    <row r="44" spans="2:18" ht="30" customHeight="1"/>
    <row r="45" spans="2:18">
      <c r="B45" s="187" t="s">
        <v>28</v>
      </c>
      <c r="C45" s="188"/>
      <c r="D45" s="189" t="s">
        <v>29</v>
      </c>
      <c r="E45" s="190"/>
      <c r="F45" s="190"/>
      <c r="G45" s="191"/>
      <c r="H45" s="18"/>
      <c r="I45" s="18"/>
      <c r="J45" s="18"/>
    </row>
    <row r="46" spans="2:18">
      <c r="B46" s="187" t="s">
        <v>30</v>
      </c>
      <c r="C46" s="188"/>
      <c r="D46" s="189" t="s">
        <v>31</v>
      </c>
      <c r="E46" s="190"/>
      <c r="F46" s="190"/>
      <c r="G46" s="191"/>
      <c r="H46" s="18"/>
      <c r="I46" s="18"/>
      <c r="J46" s="18"/>
    </row>
    <row r="48" spans="2:18" ht="15.75" thickBot="1"/>
    <row r="49" spans="2:18" s="19" customFormat="1" ht="27.75" customHeight="1">
      <c r="B49" s="196" t="s">
        <v>28</v>
      </c>
      <c r="C49" s="197"/>
      <c r="D49" s="203" t="s">
        <v>32</v>
      </c>
      <c r="E49" s="206"/>
      <c r="F49" s="227" t="s">
        <v>33</v>
      </c>
      <c r="G49" s="228"/>
      <c r="H49" s="228"/>
      <c r="I49" s="228"/>
      <c r="J49" s="228"/>
      <c r="K49" s="228"/>
      <c r="L49" s="228"/>
      <c r="M49" s="228"/>
      <c r="N49" s="228"/>
      <c r="O49" s="228"/>
      <c r="P49" s="228"/>
      <c r="Q49" s="229"/>
      <c r="R49" s="230"/>
    </row>
    <row r="50" spans="2:18" s="19" customFormat="1" ht="27.75" customHeight="1">
      <c r="B50" s="198"/>
      <c r="C50" s="199"/>
      <c r="D50" s="205" t="s">
        <v>5</v>
      </c>
      <c r="E50" s="207"/>
      <c r="F50" s="213" t="s">
        <v>34</v>
      </c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5"/>
      <c r="R50" s="216"/>
    </row>
    <row r="51" spans="2:18" s="19" customFormat="1" ht="27.75" customHeight="1">
      <c r="B51" s="198"/>
      <c r="C51" s="199"/>
      <c r="D51" s="205" t="s">
        <v>6</v>
      </c>
      <c r="E51" s="207"/>
      <c r="F51" s="213" t="s">
        <v>35</v>
      </c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5"/>
      <c r="R51" s="216"/>
    </row>
    <row r="52" spans="2:18" s="19" customFormat="1" ht="27.75" customHeight="1">
      <c r="B52" s="198"/>
      <c r="C52" s="199"/>
      <c r="D52" s="205" t="s">
        <v>36</v>
      </c>
      <c r="E52" s="207"/>
      <c r="F52" s="213" t="s">
        <v>37</v>
      </c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5"/>
      <c r="R52" s="216"/>
    </row>
    <row r="53" spans="2:18" s="19" customFormat="1" ht="27.75" customHeight="1">
      <c r="B53" s="198"/>
      <c r="C53" s="199"/>
      <c r="D53" s="205" t="s">
        <v>38</v>
      </c>
      <c r="E53" s="207"/>
      <c r="F53" s="213" t="s">
        <v>39</v>
      </c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5"/>
      <c r="R53" s="216"/>
    </row>
    <row r="54" spans="2:18" s="19" customFormat="1" ht="27.75" customHeight="1" thickBot="1">
      <c r="B54" s="200"/>
      <c r="C54" s="201"/>
      <c r="D54" s="194" t="s">
        <v>9</v>
      </c>
      <c r="E54" s="195"/>
      <c r="F54" s="231" t="s">
        <v>40</v>
      </c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3"/>
      <c r="R54" s="234"/>
    </row>
    <row r="55" spans="2:18" s="19" customFormat="1" ht="27.75" customHeight="1">
      <c r="B55" s="196" t="s">
        <v>30</v>
      </c>
      <c r="C55" s="197"/>
      <c r="D55" s="202" t="s">
        <v>10</v>
      </c>
      <c r="E55" s="203"/>
      <c r="F55" s="227" t="s">
        <v>41</v>
      </c>
      <c r="G55" s="228"/>
      <c r="H55" s="228"/>
      <c r="I55" s="228"/>
      <c r="J55" s="228"/>
      <c r="K55" s="228"/>
      <c r="L55" s="228"/>
      <c r="M55" s="228"/>
      <c r="N55" s="228"/>
      <c r="O55" s="228"/>
      <c r="P55" s="228"/>
      <c r="Q55" s="229"/>
      <c r="R55" s="230"/>
    </row>
    <row r="56" spans="2:18" s="19" customFormat="1" ht="27.75" customHeight="1">
      <c r="B56" s="198"/>
      <c r="C56" s="199"/>
      <c r="D56" s="204" t="s">
        <v>11</v>
      </c>
      <c r="E56" s="205"/>
      <c r="F56" s="213" t="s">
        <v>42</v>
      </c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5"/>
      <c r="R56" s="216"/>
    </row>
    <row r="57" spans="2:18" s="19" customFormat="1" ht="27.75" customHeight="1">
      <c r="B57" s="198"/>
      <c r="C57" s="199"/>
      <c r="D57" s="204" t="s">
        <v>12</v>
      </c>
      <c r="E57" s="205"/>
      <c r="F57" s="213" t="s">
        <v>43</v>
      </c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5"/>
      <c r="R57" s="216"/>
    </row>
    <row r="58" spans="2:18" s="19" customFormat="1" ht="27.75" customHeight="1">
      <c r="B58" s="198"/>
      <c r="C58" s="199"/>
      <c r="D58" s="204" t="s">
        <v>13</v>
      </c>
      <c r="E58" s="205"/>
      <c r="F58" s="213" t="s">
        <v>44</v>
      </c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5"/>
      <c r="R58" s="216"/>
    </row>
    <row r="59" spans="2:18" s="19" customFormat="1" ht="27.75" customHeight="1">
      <c r="B59" s="198"/>
      <c r="C59" s="199"/>
      <c r="D59" s="204" t="s">
        <v>45</v>
      </c>
      <c r="E59" s="205"/>
      <c r="F59" s="213" t="s">
        <v>46</v>
      </c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5"/>
      <c r="R59" s="216"/>
    </row>
    <row r="60" spans="2:18" s="19" customFormat="1" ht="27.75" customHeight="1">
      <c r="B60" s="198"/>
      <c r="C60" s="199"/>
      <c r="D60" s="204" t="s">
        <v>47</v>
      </c>
      <c r="E60" s="205"/>
      <c r="F60" s="213" t="s">
        <v>48</v>
      </c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5"/>
      <c r="R60" s="216"/>
    </row>
    <row r="61" spans="2:18" s="19" customFormat="1" ht="41.25" customHeight="1">
      <c r="B61" s="198"/>
      <c r="C61" s="199"/>
      <c r="D61" s="204" t="s">
        <v>15</v>
      </c>
      <c r="E61" s="205"/>
      <c r="F61" s="213" t="s">
        <v>49</v>
      </c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5"/>
      <c r="R61" s="216"/>
    </row>
    <row r="62" spans="2:18" s="19" customFormat="1" ht="27.75" customHeight="1" thickBot="1">
      <c r="B62" s="200"/>
      <c r="C62" s="201"/>
      <c r="D62" s="208" t="s">
        <v>16</v>
      </c>
      <c r="E62" s="194"/>
      <c r="F62" s="217" t="s">
        <v>50</v>
      </c>
      <c r="G62" s="218"/>
      <c r="H62" s="218"/>
      <c r="I62" s="218"/>
      <c r="J62" s="218"/>
      <c r="K62" s="218"/>
      <c r="L62" s="218"/>
      <c r="M62" s="218"/>
      <c r="N62" s="218"/>
      <c r="O62" s="218"/>
      <c r="P62" s="218"/>
      <c r="Q62" s="219"/>
      <c r="R62" s="220"/>
    </row>
    <row r="63" spans="2:18" s="19" customFormat="1" ht="25.5" customHeight="1" thickBot="1"/>
    <row r="64" spans="2:18" ht="39.75" customHeight="1" thickBot="1">
      <c r="B64" s="179" t="s">
        <v>51</v>
      </c>
      <c r="C64" s="180"/>
      <c r="D64" s="180"/>
      <c r="E64" s="180"/>
      <c r="F64" s="18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20"/>
    </row>
    <row r="65" spans="2:17" ht="29.25" customHeight="1"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</row>
    <row r="66" spans="2:17" ht="17.25" customHeight="1" thickBot="1"/>
    <row r="67" spans="2:17" ht="18" thickBot="1">
      <c r="C67" s="21" t="s">
        <v>52</v>
      </c>
      <c r="D67" s="37" t="s">
        <v>53</v>
      </c>
      <c r="E67" s="38"/>
      <c r="F67" s="22"/>
      <c r="G67" s="36" t="s">
        <v>54</v>
      </c>
      <c r="H67" s="22"/>
      <c r="I67" s="39" t="b">
        <f>IF(B2="Tripda Report - Daily","Rank on " &amp;  TEXT(#REF!,"dd/mm"))</f>
        <v>0</v>
      </c>
      <c r="J67" s="94"/>
      <c r="K67" s="40"/>
      <c r="L67" s="94"/>
      <c r="M67" s="36" t="b">
        <f>IF(B2="Tripda Report - Daily","Rank on " &amp;  TEXT(#REF!,"dd/mm"))</f>
        <v>0</v>
      </c>
      <c r="N67" s="41"/>
    </row>
    <row r="68" spans="2:17" ht="17.25">
      <c r="C68" s="23" t="s">
        <v>55</v>
      </c>
      <c r="D68" s="251" t="str">
        <f t="shared" ref="D68:D78" si="10">VLOOKUP(G68,$F$84:$N$94,$F$96,0)</f>
        <v>Brasil</v>
      </c>
      <c r="E68" s="252"/>
      <c r="F68" s="253"/>
      <c r="G68" s="243">
        <f>VLOOKUP(1,$E$84:$F$94,2,0)</f>
        <v>1614771773864.1228</v>
      </c>
      <c r="H68" s="244"/>
      <c r="I68" s="221" t="e">
        <f>VLOOKUP(D68,[1]Teste!$N$47:$Q$57,4,0)</f>
        <v>#N/A</v>
      </c>
      <c r="J68" s="237"/>
      <c r="K68" s="238"/>
      <c r="L68" s="145"/>
      <c r="M68" s="221" t="e">
        <f>VLOOKUP(D68,[1]Teste!$N$47:$S$57,6,0)</f>
        <v>#N/A</v>
      </c>
      <c r="N68" s="222"/>
    </row>
    <row r="69" spans="2:17" ht="17.25">
      <c r="C69" s="24" t="s">
        <v>56</v>
      </c>
      <c r="D69" s="254" t="str">
        <f t="shared" si="10"/>
        <v>India</v>
      </c>
      <c r="E69" s="255"/>
      <c r="F69" s="256"/>
      <c r="G69" s="245">
        <f>VLOOKUP(2,$E$84:$F$94,2,0)</f>
        <v>793438908940.33203</v>
      </c>
      <c r="H69" s="246"/>
      <c r="I69" s="223">
        <f>VLOOKUP(D69,[1]Teste!$N$47:$Q$57,4,0)</f>
        <v>4</v>
      </c>
      <c r="J69" s="239"/>
      <c r="K69" s="240"/>
      <c r="L69" s="146"/>
      <c r="M69" s="223">
        <f>VLOOKUP(D69,[1]Teste!$N$47:$S$57,6,0)</f>
        <v>1</v>
      </c>
      <c r="N69" s="224"/>
    </row>
    <row r="70" spans="2:17" ht="17.25">
      <c r="C70" s="25" t="s">
        <v>57</v>
      </c>
      <c r="D70" s="257" t="str">
        <f t="shared" si="10"/>
        <v>Colombia</v>
      </c>
      <c r="E70" s="258"/>
      <c r="F70" s="259"/>
      <c r="G70" s="192">
        <f>VLOOKUP(3,$E$84:$F$94,2,0)</f>
        <v>598454882402.48718</v>
      </c>
      <c r="H70" s="193"/>
      <c r="I70" s="223">
        <f>VLOOKUP(D70,[1]Teste!$N$47:$Q$57,4,0)</f>
        <v>5</v>
      </c>
      <c r="J70" s="239"/>
      <c r="K70" s="240"/>
      <c r="L70" s="146"/>
      <c r="M70" s="223">
        <f>VLOOKUP(D70,[1]Teste!$N$47:$S$57,6,0)</f>
        <v>1</v>
      </c>
      <c r="N70" s="224"/>
      <c r="P70" s="26"/>
      <c r="Q70" s="26"/>
    </row>
    <row r="71" spans="2:17" ht="17.25">
      <c r="C71" s="27" t="s">
        <v>58</v>
      </c>
      <c r="D71" s="260" t="str">
        <f t="shared" si="10"/>
        <v>Chile</v>
      </c>
      <c r="E71" s="261"/>
      <c r="F71" s="262"/>
      <c r="G71" s="209">
        <f>VLOOKUP(4,$E$84:$F$94,2,0)</f>
        <v>356809287854.34363</v>
      </c>
      <c r="H71" s="210"/>
      <c r="I71" s="223">
        <f>VLOOKUP(D71,[1]Teste!$N$47:$Q$57,4,0)</f>
        <v>2</v>
      </c>
      <c r="J71" s="239"/>
      <c r="K71" s="240"/>
      <c r="L71" s="146"/>
      <c r="M71" s="223">
        <f>VLOOKUP(D71,[1]Teste!$N$47:$S$57,6,0)</f>
        <v>1</v>
      </c>
      <c r="N71" s="224"/>
    </row>
    <row r="72" spans="2:17" ht="17.25">
      <c r="C72" s="27" t="s">
        <v>59</v>
      </c>
      <c r="D72" s="260" t="str">
        <f t="shared" si="10"/>
        <v>Pakistan</v>
      </c>
      <c r="E72" s="261"/>
      <c r="F72" s="262"/>
      <c r="G72" s="209">
        <f>VLOOKUP(5,$E$84:$F$94,2,0)</f>
        <v>302423408972.01636</v>
      </c>
      <c r="H72" s="210"/>
      <c r="I72" s="223">
        <f>VLOOKUP(D72,[1]Teste!$N$47:$Q$57,4,0)</f>
        <v>11</v>
      </c>
      <c r="J72" s="239"/>
      <c r="K72" s="240"/>
      <c r="L72" s="146"/>
      <c r="M72" s="223">
        <f>VLOOKUP(D72,[1]Teste!$N$47:$S$57,6,0)</f>
        <v>1</v>
      </c>
      <c r="N72" s="224"/>
    </row>
    <row r="73" spans="2:17" ht="17.25">
      <c r="C73" s="27" t="s">
        <v>60</v>
      </c>
      <c r="D73" s="260" t="str">
        <f t="shared" si="10"/>
        <v>Malaysia + Singapore</v>
      </c>
      <c r="E73" s="261"/>
      <c r="F73" s="262"/>
      <c r="G73" s="209">
        <f>VLOOKUP(6,$E$84:$F$94,2,0)</f>
        <v>123594413931.39661</v>
      </c>
      <c r="H73" s="210"/>
      <c r="I73" s="223">
        <f>VLOOKUP(D73,[1]Teste!$N$47:$Q$57,4,0)</f>
        <v>3</v>
      </c>
      <c r="J73" s="239"/>
      <c r="K73" s="240"/>
      <c r="L73" s="146"/>
      <c r="M73" s="223">
        <f>VLOOKUP(D73,[1]Teste!$N$47:$S$57,6,0)</f>
        <v>1</v>
      </c>
      <c r="N73" s="224"/>
    </row>
    <row r="74" spans="2:17" ht="17.25">
      <c r="C74" s="27" t="s">
        <v>61</v>
      </c>
      <c r="D74" s="260" t="str">
        <f t="shared" si="10"/>
        <v>Argentina + Uruguay</v>
      </c>
      <c r="E74" s="261"/>
      <c r="F74" s="262"/>
      <c r="G74" s="209">
        <f>VLOOKUP(7,$E$84:$F$94,2,0)</f>
        <v>118264603703.5265</v>
      </c>
      <c r="H74" s="210"/>
      <c r="I74" s="223">
        <f>VLOOKUP(D74,[1]Teste!$N$47:$Q$57,4,0)</f>
        <v>8</v>
      </c>
      <c r="J74" s="239"/>
      <c r="K74" s="240"/>
      <c r="L74" s="146"/>
      <c r="M74" s="223">
        <f>VLOOKUP(D74,[1]Teste!$N$47:$S$57,6,0)</f>
        <v>1</v>
      </c>
      <c r="N74" s="224"/>
    </row>
    <row r="75" spans="2:17" ht="17.25">
      <c r="C75" s="27" t="s">
        <v>62</v>
      </c>
      <c r="D75" s="260" t="str">
        <f t="shared" si="10"/>
        <v>Mexico</v>
      </c>
      <c r="E75" s="261"/>
      <c r="F75" s="262"/>
      <c r="G75" s="209">
        <f>VLOOKUP(8,$E$84:$F$94,2,0)</f>
        <v>75581647808.076447</v>
      </c>
      <c r="H75" s="210"/>
      <c r="I75" s="223">
        <f>VLOOKUP(D75,[1]Teste!$N$47:$Q$57,4,0)</f>
        <v>6</v>
      </c>
      <c r="J75" s="239"/>
      <c r="K75" s="240"/>
      <c r="L75" s="146"/>
      <c r="M75" s="223">
        <f>VLOOKUP(D75,[1]Teste!$N$47:$S$57,6,0)</f>
        <v>1</v>
      </c>
      <c r="N75" s="224"/>
    </row>
    <row r="76" spans="2:17" ht="17.25">
      <c r="C76" s="28" t="s">
        <v>63</v>
      </c>
      <c r="D76" s="263" t="str">
        <f t="shared" si="10"/>
        <v>Taiwan</v>
      </c>
      <c r="E76" s="264"/>
      <c r="F76" s="265"/>
      <c r="G76" s="211">
        <f>VLOOKUP(9,$E$84:$F$94,2,0)</f>
        <v>6714951474.2823954</v>
      </c>
      <c r="H76" s="212"/>
      <c r="I76" s="223">
        <f>VLOOKUP(D76,[1]Teste!$N$47:$Q$57,4,0)</f>
        <v>10</v>
      </c>
      <c r="J76" s="239"/>
      <c r="K76" s="240"/>
      <c r="L76" s="146"/>
      <c r="M76" s="223">
        <f>VLOOKUP(D76,[1]Teste!$N$47:$S$57,6,0)</f>
        <v>1</v>
      </c>
      <c r="N76" s="224"/>
    </row>
    <row r="77" spans="2:17" ht="17.25">
      <c r="C77" s="28" t="s">
        <v>64</v>
      </c>
      <c r="D77" s="263" t="str">
        <f t="shared" si="10"/>
        <v>Philippines</v>
      </c>
      <c r="E77" s="264"/>
      <c r="F77" s="265"/>
      <c r="G77" s="211">
        <f>VLOOKUP(10,$E$84:$F$94,2,0)</f>
        <v>3162914836.1594405</v>
      </c>
      <c r="H77" s="212"/>
      <c r="I77" s="223">
        <f>VLOOKUP(D77,[1]Teste!$N$47:$Q$57,4,0)</f>
        <v>9</v>
      </c>
      <c r="J77" s="239"/>
      <c r="K77" s="240"/>
      <c r="L77" s="146"/>
      <c r="M77" s="223">
        <f>VLOOKUP(D77,[1]Teste!$N$47:$S$57,6,0)</f>
        <v>1</v>
      </c>
      <c r="N77" s="224"/>
    </row>
    <row r="78" spans="2:17" ht="18" thickBot="1">
      <c r="C78" s="29" t="s">
        <v>65</v>
      </c>
      <c r="D78" s="266" t="str">
        <f t="shared" si="10"/>
        <v>United States</v>
      </c>
      <c r="E78" s="267"/>
      <c r="F78" s="268"/>
      <c r="G78" s="235">
        <f>VLOOKUP(11,$E$84:$F$94,2,0)</f>
        <v>880405039.79110003</v>
      </c>
      <c r="H78" s="236"/>
      <c r="I78" s="225">
        <f>VLOOKUP(D78,[1]Teste!$N$47:$Q$57,4,0)</f>
        <v>7</v>
      </c>
      <c r="J78" s="241"/>
      <c r="K78" s="242"/>
      <c r="L78" s="147"/>
      <c r="M78" s="225">
        <f>VLOOKUP(D78,[1]Teste!$N$47:$S$57,6,0)</f>
        <v>1</v>
      </c>
      <c r="N78" s="226"/>
    </row>
    <row r="82" spans="3:14" ht="15.75" thickBot="1"/>
    <row r="83" spans="3:14" ht="15.75" thickBot="1">
      <c r="C83" s="271" t="s">
        <v>17</v>
      </c>
      <c r="D83" s="272"/>
      <c r="E83" s="73" t="s">
        <v>66</v>
      </c>
      <c r="F83" s="74" t="s">
        <v>67</v>
      </c>
      <c r="G83" s="75" t="s">
        <v>68</v>
      </c>
      <c r="H83" s="75" t="s">
        <v>69</v>
      </c>
      <c r="I83" s="75" t="s">
        <v>70</v>
      </c>
      <c r="J83" s="75"/>
      <c r="K83" s="76" t="s">
        <v>71</v>
      </c>
      <c r="L83" s="104"/>
    </row>
    <row r="84" spans="3:14">
      <c r="C84" s="269" t="s">
        <v>25</v>
      </c>
      <c r="D84" s="270"/>
      <c r="E84" s="77">
        <f>RANK(F84,$F$84:$F$94)</f>
        <v>11</v>
      </c>
      <c r="F84" s="108">
        <f>R12 + 0.01</f>
        <v>880405039.79110003</v>
      </c>
      <c r="G84" s="30" t="e">
        <f t="shared" ref="G84:G94" si="11">RANK(H84,$T$38:$T$45)</f>
        <v>#REF!</v>
      </c>
      <c r="H84" s="30" t="e">
        <f>#REF!</f>
        <v>#REF!</v>
      </c>
      <c r="I84" s="30" t="e">
        <f t="shared" ref="I84:I94" si="12">RANK(K84,$V$38:$V$45)</f>
        <v>#REF!</v>
      </c>
      <c r="J84" s="95"/>
      <c r="K84" s="31" t="e">
        <f>#REF!</f>
        <v>#REF!</v>
      </c>
      <c r="L84" s="105"/>
      <c r="M84" s="269" t="s">
        <v>25</v>
      </c>
      <c r="N84" s="270"/>
    </row>
    <row r="85" spans="3:14">
      <c r="C85" s="269" t="s">
        <v>24</v>
      </c>
      <c r="D85" s="270"/>
      <c r="E85" s="78">
        <f>RANK(F85,$F$84:$F$94)</f>
        <v>9</v>
      </c>
      <c r="F85" s="109">
        <f>R15 + 0.02</f>
        <v>6714951474.2823954</v>
      </c>
      <c r="G85" s="32" t="e">
        <f t="shared" si="11"/>
        <v>#REF!</v>
      </c>
      <c r="H85" s="32" t="e">
        <f>#REF!</f>
        <v>#REF!</v>
      </c>
      <c r="I85" s="32" t="e">
        <f t="shared" si="12"/>
        <v>#REF!</v>
      </c>
      <c r="J85" s="96"/>
      <c r="K85" s="33" t="e">
        <f>#REF!</f>
        <v>#REF!</v>
      </c>
      <c r="L85" s="106"/>
      <c r="M85" s="269" t="s">
        <v>24</v>
      </c>
      <c r="N85" s="270"/>
    </row>
    <row r="86" spans="3:14">
      <c r="C86" s="269" t="s">
        <v>23</v>
      </c>
      <c r="D86" s="270"/>
      <c r="E86" s="78">
        <f t="shared" ref="E86:E94" si="13">RANK(F86,$F$84:$F$94)</f>
        <v>10</v>
      </c>
      <c r="F86" s="109">
        <f>R18 + 0.03</f>
        <v>3162914836.1594405</v>
      </c>
      <c r="G86" s="32" t="e">
        <f t="shared" si="11"/>
        <v>#REF!</v>
      </c>
      <c r="H86" s="32" t="e">
        <f>#REF!</f>
        <v>#REF!</v>
      </c>
      <c r="I86" s="32" t="e">
        <f t="shared" si="12"/>
        <v>#REF!</v>
      </c>
      <c r="J86" s="96"/>
      <c r="K86" s="33" t="e">
        <f>#REF!</f>
        <v>#REF!</v>
      </c>
      <c r="L86" s="106"/>
      <c r="M86" s="269" t="s">
        <v>23</v>
      </c>
      <c r="N86" s="270"/>
    </row>
    <row r="87" spans="3:14">
      <c r="C87" s="269" t="s">
        <v>27</v>
      </c>
      <c r="D87" s="270"/>
      <c r="E87" s="78">
        <f t="shared" si="13"/>
        <v>5</v>
      </c>
      <c r="F87" s="109">
        <f>R21 + 0.04</f>
        <v>302423408972.01636</v>
      </c>
      <c r="G87" s="32" t="e">
        <f t="shared" si="11"/>
        <v>#REF!</v>
      </c>
      <c r="H87" s="32" t="e">
        <f>#REF! +#REF!</f>
        <v>#REF!</v>
      </c>
      <c r="I87" s="32" t="e">
        <f t="shared" si="12"/>
        <v>#REF!</v>
      </c>
      <c r="J87" s="96"/>
      <c r="K87" s="33" t="e">
        <f>#REF! +#REF!</f>
        <v>#REF!</v>
      </c>
      <c r="L87" s="106"/>
      <c r="M87" s="269" t="s">
        <v>27</v>
      </c>
      <c r="N87" s="270"/>
    </row>
    <row r="88" spans="3:14">
      <c r="C88" s="247" t="s">
        <v>19</v>
      </c>
      <c r="D88" s="248"/>
      <c r="E88" s="78">
        <f t="shared" si="13"/>
        <v>8</v>
      </c>
      <c r="F88" s="109">
        <f>R24 + 0.05</f>
        <v>75581647808.076447</v>
      </c>
      <c r="G88" s="32" t="e">
        <f t="shared" si="11"/>
        <v>#REF!</v>
      </c>
      <c r="H88" s="32" t="e">
        <f>#REF!</f>
        <v>#REF!</v>
      </c>
      <c r="I88" s="32" t="e">
        <f t="shared" si="12"/>
        <v>#REF!</v>
      </c>
      <c r="J88" s="96"/>
      <c r="K88" s="33" t="e">
        <f>#REF!</f>
        <v>#REF!</v>
      </c>
      <c r="L88" s="106"/>
      <c r="M88" s="247" t="s">
        <v>19</v>
      </c>
      <c r="N88" s="248"/>
    </row>
    <row r="89" spans="3:14">
      <c r="C89" s="269" t="s">
        <v>20</v>
      </c>
      <c r="D89" s="270"/>
      <c r="E89" s="78">
        <f t="shared" si="13"/>
        <v>6</v>
      </c>
      <c r="F89" s="109">
        <f>R27 + 0.06</f>
        <v>123594413931.39661</v>
      </c>
      <c r="G89" s="32" t="e">
        <f t="shared" si="11"/>
        <v>#REF!</v>
      </c>
      <c r="H89" s="32" t="e">
        <f>#REF!+#REF!</f>
        <v>#REF!</v>
      </c>
      <c r="I89" s="32" t="e">
        <f t="shared" si="12"/>
        <v>#REF!</v>
      </c>
      <c r="J89" s="96"/>
      <c r="K89" s="33" t="e">
        <f>#REF!+#REF!</f>
        <v>#REF!</v>
      </c>
      <c r="L89" s="106"/>
      <c r="M89" s="269" t="s">
        <v>20</v>
      </c>
      <c r="N89" s="270"/>
    </row>
    <row r="90" spans="3:14">
      <c r="C90" s="269" t="s">
        <v>26</v>
      </c>
      <c r="D90" s="270"/>
      <c r="E90" s="78">
        <f t="shared" si="13"/>
        <v>2</v>
      </c>
      <c r="F90" s="109">
        <f>R30 + 0.07</f>
        <v>793438908940.33203</v>
      </c>
      <c r="G90" s="32" t="e">
        <f t="shared" si="11"/>
        <v>#REF!</v>
      </c>
      <c r="H90" s="32" t="e">
        <f>#REF!</f>
        <v>#REF!</v>
      </c>
      <c r="I90" s="32" t="e">
        <f t="shared" si="12"/>
        <v>#REF!</v>
      </c>
      <c r="J90" s="96"/>
      <c r="K90" s="33" t="e">
        <f>#REF!</f>
        <v>#REF!</v>
      </c>
      <c r="L90" s="106"/>
      <c r="M90" s="269" t="s">
        <v>26</v>
      </c>
      <c r="N90" s="270"/>
    </row>
    <row r="91" spans="3:14">
      <c r="C91" s="247" t="s">
        <v>18</v>
      </c>
      <c r="D91" s="248"/>
      <c r="E91" s="78">
        <f t="shared" si="13"/>
        <v>3</v>
      </c>
      <c r="F91" s="109">
        <f>R33 + 0.08</f>
        <v>598454882402.48718</v>
      </c>
      <c r="G91" s="32" t="e">
        <f t="shared" si="11"/>
        <v>#REF!</v>
      </c>
      <c r="H91" s="32" t="e">
        <f>#REF!</f>
        <v>#REF!</v>
      </c>
      <c r="I91" s="32" t="e">
        <f t="shared" si="12"/>
        <v>#REF!</v>
      </c>
      <c r="J91" s="96"/>
      <c r="K91" s="33" t="e">
        <f>#REF!</f>
        <v>#REF!</v>
      </c>
      <c r="L91" s="106"/>
      <c r="M91" s="247" t="s">
        <v>18</v>
      </c>
      <c r="N91" s="248"/>
    </row>
    <row r="92" spans="3:14">
      <c r="C92" s="269" t="s">
        <v>21</v>
      </c>
      <c r="D92" s="270"/>
      <c r="E92" s="78">
        <f t="shared" si="13"/>
        <v>4</v>
      </c>
      <c r="F92" s="109">
        <f>R36 + 0.09</f>
        <v>356809287854.34363</v>
      </c>
      <c r="G92" s="32" t="e">
        <f t="shared" si="11"/>
        <v>#REF!</v>
      </c>
      <c r="H92" s="32" t="e">
        <f>#REF!</f>
        <v>#REF!</v>
      </c>
      <c r="I92" s="32" t="e">
        <f t="shared" si="12"/>
        <v>#REF!</v>
      </c>
      <c r="J92" s="96"/>
      <c r="K92" s="33" t="e">
        <f>#REF!</f>
        <v>#REF!</v>
      </c>
      <c r="L92" s="106"/>
      <c r="M92" s="269" t="s">
        <v>21</v>
      </c>
      <c r="N92" s="270"/>
    </row>
    <row r="93" spans="3:14">
      <c r="C93" s="247" t="s">
        <v>72</v>
      </c>
      <c r="D93" s="248"/>
      <c r="E93" s="78">
        <f t="shared" si="13"/>
        <v>1</v>
      </c>
      <c r="F93" s="109">
        <f>R39 + 0.1</f>
        <v>1614771773864.1228</v>
      </c>
      <c r="G93" s="32" t="e">
        <f t="shared" si="11"/>
        <v>#REF!</v>
      </c>
      <c r="H93" s="32" t="e">
        <f>#REF!</f>
        <v>#REF!</v>
      </c>
      <c r="I93" s="32" t="e">
        <f t="shared" si="12"/>
        <v>#REF!</v>
      </c>
      <c r="J93" s="96"/>
      <c r="K93" s="33" t="e">
        <f>#REF!</f>
        <v>#REF!</v>
      </c>
      <c r="L93" s="106"/>
      <c r="M93" s="247" t="s">
        <v>72</v>
      </c>
      <c r="N93" s="248"/>
    </row>
    <row r="94" spans="3:14" ht="15.75" thickBot="1">
      <c r="C94" s="249" t="s">
        <v>22</v>
      </c>
      <c r="D94" s="250"/>
      <c r="E94" s="79">
        <f t="shared" si="13"/>
        <v>7</v>
      </c>
      <c r="F94" s="110">
        <f>R42 + 0.11</f>
        <v>118264603703.5265</v>
      </c>
      <c r="G94" s="34" t="e">
        <f t="shared" si="11"/>
        <v>#REF!</v>
      </c>
      <c r="H94" s="34" t="e">
        <f>#REF!</f>
        <v>#REF!</v>
      </c>
      <c r="I94" s="34" t="e">
        <f t="shared" si="12"/>
        <v>#REF!</v>
      </c>
      <c r="J94" s="97"/>
      <c r="K94" s="35" t="e">
        <f>#REF!</f>
        <v>#REF!</v>
      </c>
      <c r="L94" s="107"/>
      <c r="M94" s="249" t="s">
        <v>22</v>
      </c>
      <c r="N94" s="250"/>
    </row>
    <row r="96" spans="3:14">
      <c r="F96" s="143">
        <f>G96+H96</f>
        <v>8</v>
      </c>
      <c r="G96" s="143">
        <f>COUNTA(F94:M94)</f>
        <v>6</v>
      </c>
      <c r="H96" s="143">
        <f>COUNTBLANK(F94:M94)</f>
        <v>2</v>
      </c>
    </row>
  </sheetData>
  <mergeCells count="105">
    <mergeCell ref="B2:R2"/>
    <mergeCell ref="C6:H6"/>
    <mergeCell ref="I6:R6"/>
    <mergeCell ref="B45:C45"/>
    <mergeCell ref="D45:G45"/>
    <mergeCell ref="B46:C46"/>
    <mergeCell ref="D46:G46"/>
    <mergeCell ref="B49:C54"/>
    <mergeCell ref="D49:E49"/>
    <mergeCell ref="F49:R49"/>
    <mergeCell ref="D50:E50"/>
    <mergeCell ref="F50:R50"/>
    <mergeCell ref="D51:E51"/>
    <mergeCell ref="F51:R51"/>
    <mergeCell ref="D52:E52"/>
    <mergeCell ref="F52:R52"/>
    <mergeCell ref="D53:E53"/>
    <mergeCell ref="F53:R53"/>
    <mergeCell ref="D54:E54"/>
    <mergeCell ref="F54:R54"/>
    <mergeCell ref="D55:E55"/>
    <mergeCell ref="F55:R55"/>
    <mergeCell ref="D56:E56"/>
    <mergeCell ref="F56:R56"/>
    <mergeCell ref="D57:E57"/>
    <mergeCell ref="F57:R57"/>
    <mergeCell ref="D69:F69"/>
    <mergeCell ref="G69:H69"/>
    <mergeCell ref="I69:K69"/>
    <mergeCell ref="M69:N69"/>
    <mergeCell ref="D70:F70"/>
    <mergeCell ref="G70:H70"/>
    <mergeCell ref="I70:K70"/>
    <mergeCell ref="M70:N70"/>
    <mergeCell ref="D61:E61"/>
    <mergeCell ref="F61:R61"/>
    <mergeCell ref="D62:E62"/>
    <mergeCell ref="F62:R62"/>
    <mergeCell ref="B64:P64"/>
    <mergeCell ref="D68:F68"/>
    <mergeCell ref="G68:H68"/>
    <mergeCell ref="I68:K68"/>
    <mergeCell ref="M68:N68"/>
    <mergeCell ref="B55:C62"/>
    <mergeCell ref="D58:E58"/>
    <mergeCell ref="F58:R58"/>
    <mergeCell ref="D59:E59"/>
    <mergeCell ref="F59:R59"/>
    <mergeCell ref="D60:E60"/>
    <mergeCell ref="F60:R60"/>
    <mergeCell ref="D73:F73"/>
    <mergeCell ref="G73:H73"/>
    <mergeCell ref="I73:K73"/>
    <mergeCell ref="M73:N73"/>
    <mergeCell ref="D74:F74"/>
    <mergeCell ref="G74:H74"/>
    <mergeCell ref="I74:K74"/>
    <mergeCell ref="M74:N74"/>
    <mergeCell ref="D71:F71"/>
    <mergeCell ref="G71:H71"/>
    <mergeCell ref="I71:K71"/>
    <mergeCell ref="M71:N71"/>
    <mergeCell ref="D72:F72"/>
    <mergeCell ref="G72:H72"/>
    <mergeCell ref="I72:K72"/>
    <mergeCell ref="M72:N72"/>
    <mergeCell ref="D77:F77"/>
    <mergeCell ref="G77:H77"/>
    <mergeCell ref="I77:K77"/>
    <mergeCell ref="M77:N77"/>
    <mergeCell ref="D78:F78"/>
    <mergeCell ref="G78:H78"/>
    <mergeCell ref="I78:K78"/>
    <mergeCell ref="M78:N78"/>
    <mergeCell ref="D75:F75"/>
    <mergeCell ref="G75:H75"/>
    <mergeCell ref="I75:K75"/>
    <mergeCell ref="M75:N75"/>
    <mergeCell ref="D76:F76"/>
    <mergeCell ref="G76:H76"/>
    <mergeCell ref="I76:K76"/>
    <mergeCell ref="M76:N76"/>
    <mergeCell ref="C87:D87"/>
    <mergeCell ref="M87:N87"/>
    <mergeCell ref="C88:D88"/>
    <mergeCell ref="M88:N88"/>
    <mergeCell ref="C89:D89"/>
    <mergeCell ref="M89:N89"/>
    <mergeCell ref="C83:D83"/>
    <mergeCell ref="C84:D84"/>
    <mergeCell ref="M84:N84"/>
    <mergeCell ref="C85:D85"/>
    <mergeCell ref="M85:N85"/>
    <mergeCell ref="C86:D86"/>
    <mergeCell ref="M86:N86"/>
    <mergeCell ref="C93:D93"/>
    <mergeCell ref="M93:N93"/>
    <mergeCell ref="C94:D94"/>
    <mergeCell ref="M94:N94"/>
    <mergeCell ref="C90:D90"/>
    <mergeCell ref="M90:N90"/>
    <mergeCell ref="C91:D91"/>
    <mergeCell ref="M91:N91"/>
    <mergeCell ref="C92:D92"/>
    <mergeCell ref="M92:N92"/>
  </mergeCells>
  <conditionalFormatting sqref="I68:J78 M68:M78">
    <cfRule type="cellIs" dxfId="11" priority="1" operator="greaterThan">
      <formula>8</formula>
    </cfRule>
    <cfRule type="cellIs" dxfId="10" priority="2" operator="equal">
      <formula>3</formula>
    </cfRule>
    <cfRule type="cellIs" dxfId="9" priority="3" operator="equal">
      <formula>2</formula>
    </cfRule>
    <cfRule type="cellIs" dxfId="8" priority="4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8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B1:U118"/>
  <sheetViews>
    <sheetView showGridLines="0" zoomScale="70" zoomScaleNormal="70" zoomScalePageLayoutView="70" workbookViewId="0">
      <selection activeCell="R9" sqref="R9"/>
    </sheetView>
  </sheetViews>
  <sheetFormatPr defaultRowHeight="15"/>
  <cols>
    <col min="1" max="1" width="5.7109375" style="143" customWidth="1"/>
    <col min="2" max="2" width="20" style="143" customWidth="1"/>
    <col min="3" max="3" width="10.28515625" style="143" customWidth="1"/>
    <col min="4" max="4" width="11.85546875" style="143" customWidth="1"/>
    <col min="5" max="5" width="13.42578125" style="143" customWidth="1"/>
    <col min="6" max="6" width="13.5703125" style="143" customWidth="1"/>
    <col min="7" max="7" width="12.140625" style="143" customWidth="1"/>
    <col min="8" max="8" width="15.7109375" style="143" customWidth="1"/>
    <col min="9" max="10" width="11.5703125" style="143" customWidth="1"/>
    <col min="11" max="12" width="13.28515625" style="143" customWidth="1"/>
    <col min="13" max="13" width="16.7109375" style="143" customWidth="1"/>
    <col min="14" max="14" width="12.7109375" style="143" customWidth="1"/>
    <col min="15" max="15" width="14.85546875" style="143" customWidth="1"/>
    <col min="16" max="17" width="14.42578125" style="143" customWidth="1"/>
    <col min="18" max="18" width="15.42578125" style="143" customWidth="1"/>
    <col min="19" max="16384" width="9.140625" style="143"/>
  </cols>
  <sheetData>
    <row r="1" spans="2:21" ht="15.75" thickBot="1"/>
    <row r="2" spans="2:21" s="1" customFormat="1" ht="40.5" customHeight="1" thickBot="1">
      <c r="B2" s="179" t="str">
        <f>'(Monthly)Report Rodrigo'!B2:S2</f>
        <v>Tripda Report - Monthly</v>
      </c>
      <c r="C2" s="180"/>
      <c r="D2" s="180"/>
      <c r="E2" s="180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</row>
    <row r="4" spans="2:21">
      <c r="B4" s="178"/>
      <c r="C4" s="178"/>
      <c r="D4" s="178"/>
      <c r="E4" s="178"/>
      <c r="K4" s="5"/>
      <c r="L4" s="5"/>
      <c r="M4" s="5"/>
      <c r="N4" s="5"/>
      <c r="O4" s="5"/>
    </row>
    <row r="5" spans="2:21" ht="15.75" thickBot="1">
      <c r="B5" s="6"/>
      <c r="C5" s="6"/>
      <c r="D5" s="6"/>
      <c r="E5" s="6"/>
      <c r="G5" s="5"/>
      <c r="H5" s="5"/>
      <c r="I5" s="5"/>
      <c r="J5" s="5"/>
      <c r="K5" s="5"/>
      <c r="L5" s="5"/>
      <c r="M5" s="5"/>
      <c r="N5" s="5"/>
      <c r="O5" s="5"/>
    </row>
    <row r="6" spans="2:21" ht="24" thickBot="1">
      <c r="B6" s="7"/>
      <c r="C6" s="182" t="s">
        <v>2</v>
      </c>
      <c r="D6" s="183"/>
      <c r="E6" s="183"/>
      <c r="F6" s="183"/>
      <c r="G6" s="183"/>
      <c r="H6" s="184"/>
      <c r="I6" s="185" t="s">
        <v>3</v>
      </c>
      <c r="J6" s="185"/>
      <c r="K6" s="185"/>
      <c r="L6" s="185"/>
      <c r="M6" s="185"/>
      <c r="N6" s="185"/>
      <c r="O6" s="185"/>
      <c r="P6" s="185"/>
      <c r="Q6" s="185"/>
      <c r="R6" s="186"/>
    </row>
    <row r="7" spans="2:21" ht="60" customHeight="1" thickBot="1">
      <c r="B7" s="84"/>
      <c r="C7" s="9" t="s">
        <v>4</v>
      </c>
      <c r="D7" s="10" t="s">
        <v>5</v>
      </c>
      <c r="E7" s="11" t="s">
        <v>103</v>
      </c>
      <c r="F7" s="12" t="s">
        <v>7</v>
      </c>
      <c r="G7" s="12" t="s">
        <v>8</v>
      </c>
      <c r="H7" s="13" t="s">
        <v>9</v>
      </c>
      <c r="I7" s="10" t="s">
        <v>10</v>
      </c>
      <c r="J7" s="10" t="s">
        <v>75</v>
      </c>
      <c r="K7" s="12" t="s">
        <v>11</v>
      </c>
      <c r="L7" s="12" t="s">
        <v>76</v>
      </c>
      <c r="M7" s="12" t="s">
        <v>12</v>
      </c>
      <c r="N7" s="12" t="s">
        <v>13</v>
      </c>
      <c r="O7" s="12" t="s">
        <v>14</v>
      </c>
      <c r="P7" s="12" t="s">
        <v>15</v>
      </c>
      <c r="Q7" s="13" t="s">
        <v>16</v>
      </c>
      <c r="R7" s="13" t="s">
        <v>73</v>
      </c>
    </row>
    <row r="8" spans="2:21">
      <c r="B8" s="14" t="s">
        <v>17</v>
      </c>
      <c r="C8" s="14"/>
      <c r="D8" s="15"/>
      <c r="E8" s="15"/>
      <c r="F8" s="15"/>
      <c r="G8" s="15"/>
      <c r="H8" s="16"/>
      <c r="I8" s="15"/>
      <c r="J8" s="15"/>
      <c r="K8" s="15"/>
      <c r="L8" s="15"/>
      <c r="M8" s="15"/>
      <c r="N8" s="15"/>
      <c r="O8" s="15"/>
      <c r="P8" s="15"/>
      <c r="Q8" s="15"/>
      <c r="R8" s="16"/>
      <c r="U8" s="17"/>
    </row>
    <row r="9" spans="2:21">
      <c r="B9" s="165">
        <f>'(Yearly)Report'!B9</f>
        <v>2015</v>
      </c>
      <c r="C9" s="160">
        <f>'(Yearly)Report'!C9</f>
        <v>288604</v>
      </c>
      <c r="D9" s="166">
        <f>'(Yearly)Report'!D9</f>
        <v>65687</v>
      </c>
      <c r="E9" s="166">
        <f>'(Yearly)Report'!E9</f>
        <v>83034</v>
      </c>
      <c r="F9" s="166">
        <f>'(Yearly)Report'!F9</f>
        <v>302693</v>
      </c>
      <c r="G9" s="166">
        <f>'(Yearly)Report'!G9</f>
        <v>627165</v>
      </c>
      <c r="H9" s="49">
        <f>'(Yearly)Report'!H9</f>
        <v>161000000</v>
      </c>
      <c r="I9" s="169">
        <f>'(Yearly)Report'!I9</f>
        <v>255276</v>
      </c>
      <c r="J9" s="169">
        <f>'(Yearly)Report'!J9</f>
        <v>132291</v>
      </c>
      <c r="K9" s="166">
        <f>'(Yearly)Report'!K9</f>
        <v>735913</v>
      </c>
      <c r="L9" s="166">
        <f>'(Yearly)Report'!L9</f>
        <v>209671</v>
      </c>
      <c r="M9" s="51">
        <f>'(Yearly)Report'!M9</f>
        <v>2.8828130000000001</v>
      </c>
      <c r="N9" s="52">
        <f>'(Yearly)Report'!N9</f>
        <v>0.29853499999999999</v>
      </c>
      <c r="O9" s="51">
        <f>'(Yearly)Report'!O9</f>
        <v>57.930540000000001</v>
      </c>
      <c r="P9" s="52">
        <f>'(Yearly)Report'!P9</f>
        <v>3.1307000000000001E-2</v>
      </c>
      <c r="Q9" s="52">
        <f>'(Yearly)Report'!Q9</f>
        <v>8.1476999999999994E-2</v>
      </c>
      <c r="R9" s="113">
        <f>'(Yearly)Report'!R9</f>
        <v>28417338386162.797</v>
      </c>
    </row>
    <row r="10" spans="2:21" ht="15.75" thickBot="1">
      <c r="B10" s="165">
        <f>'(Yearly)Report'!B10</f>
        <v>2016</v>
      </c>
      <c r="C10" s="160">
        <f>'(Yearly)Report'!C10</f>
        <v>50273</v>
      </c>
      <c r="D10" s="166">
        <f>'(Yearly)Report'!D10</f>
        <v>8249</v>
      </c>
      <c r="E10" s="166">
        <f>'(Yearly)Report'!E10</f>
        <v>7380</v>
      </c>
      <c r="F10" s="166">
        <f>'(Yearly)Report'!F10</f>
        <v>23607</v>
      </c>
      <c r="G10" s="166">
        <f>'(Yearly)Report'!G10</f>
        <v>18345</v>
      </c>
      <c r="H10" s="49">
        <f>'(Yearly)Report'!H10</f>
        <v>14546973</v>
      </c>
      <c r="I10" s="169">
        <f>'(Yearly)Report'!I10</f>
        <v>7724</v>
      </c>
      <c r="J10" s="169">
        <f>'(Yearly)Report'!J10</f>
        <v>5647</v>
      </c>
      <c r="K10" s="166">
        <f>'(Yearly)Report'!K10</f>
        <v>17207</v>
      </c>
      <c r="L10" s="166">
        <f>'(Yearly)Report'!L10</f>
        <v>8633</v>
      </c>
      <c r="M10" s="51">
        <f>'(Yearly)Report'!M10</f>
        <v>2.227732</v>
      </c>
      <c r="N10" s="52">
        <f>'(Yearly)Report'!N10</f>
        <v>0.15556</v>
      </c>
      <c r="O10" s="51">
        <f>'(Yearly)Report'!O10</f>
        <v>109.8775</v>
      </c>
      <c r="P10" s="52">
        <f>'(Yearly)Report'!P10</f>
        <v>8.7003999999999998E-2</v>
      </c>
      <c r="Q10" s="52">
        <f>'(Yearly)Report'!Q10</f>
        <v>0.169015</v>
      </c>
      <c r="R10" s="113">
        <f>'(Yearly)Report'!R10</f>
        <v>37067376634.783752</v>
      </c>
    </row>
    <row r="11" spans="2:21">
      <c r="B11" s="56" t="s">
        <v>72</v>
      </c>
      <c r="C11" s="57"/>
      <c r="D11" s="58"/>
      <c r="E11" s="58"/>
      <c r="F11" s="58"/>
      <c r="G11" s="58"/>
      <c r="H11" s="59"/>
      <c r="I11" s="58"/>
      <c r="J11" s="58"/>
      <c r="K11" s="58"/>
      <c r="L11" s="58"/>
      <c r="M11" s="58"/>
      <c r="N11" s="58"/>
      <c r="O11" s="58"/>
      <c r="P11" s="58"/>
      <c r="Q11" s="58"/>
      <c r="R11" s="59"/>
    </row>
    <row r="12" spans="2:21">
      <c r="B12" s="174">
        <v>2015</v>
      </c>
      <c r="C12" s="160">
        <v>53213</v>
      </c>
      <c r="D12" s="166">
        <v>12977</v>
      </c>
      <c r="E12" s="166">
        <v>17632</v>
      </c>
      <c r="F12" s="166">
        <v>77671</v>
      </c>
      <c r="G12" s="166">
        <v>123864</v>
      </c>
      <c r="H12" s="49">
        <v>40337088</v>
      </c>
      <c r="I12" s="169">
        <v>39320</v>
      </c>
      <c r="J12" s="169">
        <v>36645</v>
      </c>
      <c r="K12" s="166">
        <v>100827</v>
      </c>
      <c r="L12" s="166">
        <v>70580</v>
      </c>
      <c r="M12" s="51">
        <v>2.5642680000000002</v>
      </c>
      <c r="N12" s="52">
        <v>0.35962499999999997</v>
      </c>
      <c r="O12" s="51">
        <v>129.48330000000001</v>
      </c>
      <c r="P12" s="52">
        <v>6.9834999999999994E-2</v>
      </c>
      <c r="Q12" s="111">
        <v>0.19420599999999999</v>
      </c>
      <c r="R12" s="113">
        <v>1614771773864.0227</v>
      </c>
    </row>
    <row r="13" spans="2:21" ht="15.75" thickBot="1">
      <c r="B13" s="176">
        <v>2016</v>
      </c>
      <c r="C13" s="160">
        <v>20311</v>
      </c>
      <c r="D13" s="166">
        <v>3135</v>
      </c>
      <c r="E13" s="166">
        <v>3310</v>
      </c>
      <c r="F13" s="166">
        <v>9280</v>
      </c>
      <c r="G13" s="166">
        <v>7365</v>
      </c>
      <c r="H13" s="49">
        <v>6640766</v>
      </c>
      <c r="I13" s="169">
        <v>2828</v>
      </c>
      <c r="J13" s="169">
        <v>2289</v>
      </c>
      <c r="K13" s="166">
        <v>5992</v>
      </c>
      <c r="L13" s="166">
        <v>3971</v>
      </c>
      <c r="M13" s="55">
        <v>2.1188120000000001</v>
      </c>
      <c r="N13" s="52">
        <v>0.16836300000000001</v>
      </c>
      <c r="O13" s="55">
        <v>133.5087</v>
      </c>
      <c r="P13" s="52">
        <v>9.0018000000000001E-2</v>
      </c>
      <c r="Q13" s="111">
        <v>0.19705</v>
      </c>
      <c r="R13" s="113">
        <v>6031880343.2160006</v>
      </c>
    </row>
    <row r="14" spans="2:21">
      <c r="B14" s="56" t="s">
        <v>26</v>
      </c>
      <c r="C14" s="57"/>
      <c r="D14" s="58"/>
      <c r="E14" s="58"/>
      <c r="F14" s="58"/>
      <c r="G14" s="58"/>
      <c r="H14" s="59"/>
      <c r="I14" s="58"/>
      <c r="J14" s="58"/>
      <c r="K14" s="58"/>
      <c r="L14" s="58"/>
      <c r="M14" s="58"/>
      <c r="N14" s="58"/>
      <c r="O14" s="58"/>
      <c r="P14" s="58"/>
      <c r="Q14" s="58"/>
      <c r="R14" s="59"/>
      <c r="T14" s="17"/>
      <c r="U14" s="17"/>
    </row>
    <row r="15" spans="2:21">
      <c r="B15" s="174">
        <v>2015</v>
      </c>
      <c r="C15" s="160">
        <v>46527</v>
      </c>
      <c r="D15" s="166">
        <v>15393</v>
      </c>
      <c r="E15" s="166">
        <v>21199</v>
      </c>
      <c r="F15" s="166">
        <v>46597</v>
      </c>
      <c r="G15" s="166">
        <v>86867</v>
      </c>
      <c r="H15" s="49">
        <v>27437717</v>
      </c>
      <c r="I15" s="169">
        <v>53275</v>
      </c>
      <c r="J15" s="169">
        <v>20838</v>
      </c>
      <c r="K15" s="166">
        <v>161789</v>
      </c>
      <c r="L15" s="166">
        <v>29998</v>
      </c>
      <c r="M15" s="51">
        <v>3.0368650000000001</v>
      </c>
      <c r="N15" s="52">
        <v>0.32103199999999998</v>
      </c>
      <c r="O15" s="51">
        <v>36.887239999999998</v>
      </c>
      <c r="P15" s="52">
        <v>1.6067000000000001E-2</v>
      </c>
      <c r="Q15" s="111">
        <v>2.7785000000000001E-2</v>
      </c>
      <c r="R15" s="113">
        <v>793438908940.26208</v>
      </c>
    </row>
    <row r="16" spans="2:21" ht="15.75" thickBot="1">
      <c r="B16" s="176">
        <v>2016</v>
      </c>
      <c r="C16" s="160">
        <v>4642</v>
      </c>
      <c r="D16" s="166">
        <v>927</v>
      </c>
      <c r="E16" s="166">
        <v>444</v>
      </c>
      <c r="F16" s="166">
        <v>2491</v>
      </c>
      <c r="G16" s="166">
        <v>1503</v>
      </c>
      <c r="H16" s="49">
        <v>1536344</v>
      </c>
      <c r="I16" s="169">
        <v>795</v>
      </c>
      <c r="J16" s="169">
        <v>428</v>
      </c>
      <c r="K16" s="166">
        <v>1308</v>
      </c>
      <c r="L16" s="166">
        <v>503</v>
      </c>
      <c r="M16" s="55">
        <v>1.6452830000000001</v>
      </c>
      <c r="N16" s="52">
        <v>7.5142E-2</v>
      </c>
      <c r="O16" s="55">
        <v>40.77599</v>
      </c>
      <c r="P16" s="52">
        <v>0.17593</v>
      </c>
      <c r="Q16" s="111">
        <v>0.21451500000000001</v>
      </c>
      <c r="R16" s="113">
        <v>80909187.293640003</v>
      </c>
    </row>
    <row r="17" spans="2:21">
      <c r="B17" s="56" t="s">
        <v>18</v>
      </c>
      <c r="C17" s="57"/>
      <c r="D17" s="58"/>
      <c r="E17" s="58"/>
      <c r="F17" s="58"/>
      <c r="G17" s="58"/>
      <c r="H17" s="59"/>
      <c r="I17" s="58"/>
      <c r="J17" s="58"/>
      <c r="K17" s="58"/>
      <c r="L17" s="58"/>
      <c r="M17" s="58"/>
      <c r="N17" s="58"/>
      <c r="O17" s="58"/>
      <c r="P17" s="58"/>
      <c r="Q17" s="58"/>
      <c r="R17" s="59"/>
    </row>
    <row r="18" spans="2:21">
      <c r="B18" s="174">
        <v>2015</v>
      </c>
      <c r="C18" s="160">
        <v>31512</v>
      </c>
      <c r="D18" s="166">
        <v>5440</v>
      </c>
      <c r="E18" s="166">
        <v>7027</v>
      </c>
      <c r="F18" s="166">
        <v>37795</v>
      </c>
      <c r="G18" s="166">
        <v>88976</v>
      </c>
      <c r="H18" s="49">
        <v>14935116</v>
      </c>
      <c r="I18" s="169">
        <v>33060</v>
      </c>
      <c r="J18" s="169">
        <v>12801</v>
      </c>
      <c r="K18" s="166">
        <v>113208</v>
      </c>
      <c r="L18" s="166">
        <v>13044</v>
      </c>
      <c r="M18" s="51">
        <v>3.4243190000000001</v>
      </c>
      <c r="N18" s="52">
        <v>0.49831900000000001</v>
      </c>
      <c r="O18" s="51">
        <v>61.428600000000003</v>
      </c>
      <c r="P18" s="52">
        <v>1.9272999999999998E-2</v>
      </c>
      <c r="Q18" s="111">
        <v>4.2192E-2</v>
      </c>
      <c r="R18" s="113">
        <v>598454882402.40723</v>
      </c>
    </row>
    <row r="19" spans="2:21" ht="15.75" thickBot="1">
      <c r="B19" s="176">
        <v>2016</v>
      </c>
      <c r="C19" s="160">
        <v>5498</v>
      </c>
      <c r="D19" s="166">
        <v>797</v>
      </c>
      <c r="E19" s="166">
        <v>822</v>
      </c>
      <c r="F19" s="166">
        <v>2766</v>
      </c>
      <c r="G19" s="166">
        <v>3025</v>
      </c>
      <c r="H19" s="49">
        <v>1263795</v>
      </c>
      <c r="I19" s="169">
        <v>1183</v>
      </c>
      <c r="J19" s="169">
        <v>840</v>
      </c>
      <c r="K19" s="166">
        <v>3635</v>
      </c>
      <c r="L19" s="166">
        <v>1078</v>
      </c>
      <c r="M19" s="55">
        <v>3.0726969999999998</v>
      </c>
      <c r="N19" s="52">
        <v>0.286997</v>
      </c>
      <c r="O19" s="55">
        <v>95.746080000000006</v>
      </c>
      <c r="P19" s="52">
        <v>4.5920999999999997E-2</v>
      </c>
      <c r="Q19" s="111">
        <v>0.12884499999999999</v>
      </c>
      <c r="R19" s="113">
        <v>1172188618.6944001</v>
      </c>
    </row>
    <row r="20" spans="2:21">
      <c r="B20" s="70" t="s">
        <v>21</v>
      </c>
      <c r="C20" s="57"/>
      <c r="D20" s="58"/>
      <c r="E20" s="58"/>
      <c r="F20" s="58"/>
      <c r="G20" s="58"/>
      <c r="H20" s="59"/>
      <c r="I20" s="58"/>
      <c r="J20" s="58"/>
      <c r="K20" s="58"/>
      <c r="L20" s="58"/>
      <c r="M20" s="58"/>
      <c r="N20" s="58"/>
      <c r="O20" s="58"/>
      <c r="P20" s="58"/>
      <c r="Q20" s="58"/>
      <c r="R20" s="59"/>
      <c r="T20" s="17"/>
      <c r="U20" s="17"/>
    </row>
    <row r="21" spans="2:21">
      <c r="B21" s="174">
        <v>2015</v>
      </c>
      <c r="C21" s="160">
        <v>22150</v>
      </c>
      <c r="D21" s="166">
        <v>7021</v>
      </c>
      <c r="E21" s="166">
        <v>8380</v>
      </c>
      <c r="F21" s="166">
        <v>44832</v>
      </c>
      <c r="G21" s="166">
        <v>89576</v>
      </c>
      <c r="H21" s="49">
        <v>14654432</v>
      </c>
      <c r="I21" s="169">
        <v>33274</v>
      </c>
      <c r="J21" s="169">
        <v>18714</v>
      </c>
      <c r="K21" s="166">
        <v>92063</v>
      </c>
      <c r="L21" s="166">
        <v>21945</v>
      </c>
      <c r="M21" s="51">
        <v>2.7668149999999998</v>
      </c>
      <c r="N21" s="52">
        <v>0.433583</v>
      </c>
      <c r="O21" s="51">
        <v>46.696399999999997</v>
      </c>
      <c r="P21" s="52">
        <v>2.7932999999999999E-2</v>
      </c>
      <c r="Q21" s="111">
        <v>5.7135999999999999E-2</v>
      </c>
      <c r="R21" s="113">
        <v>356809287854.2536</v>
      </c>
    </row>
    <row r="22" spans="2:21" ht="15.75" thickBot="1">
      <c r="B22" s="176">
        <v>2016</v>
      </c>
      <c r="C22" s="160">
        <v>4423</v>
      </c>
      <c r="D22" s="166">
        <v>1021</v>
      </c>
      <c r="E22" s="166">
        <v>1430</v>
      </c>
      <c r="F22" s="166">
        <v>2837</v>
      </c>
      <c r="G22" s="166">
        <v>2743</v>
      </c>
      <c r="H22" s="49">
        <v>1061060</v>
      </c>
      <c r="I22" s="169">
        <v>1162</v>
      </c>
      <c r="J22" s="169">
        <v>1033</v>
      </c>
      <c r="K22" s="166">
        <v>2797</v>
      </c>
      <c r="L22" s="166">
        <v>1642</v>
      </c>
      <c r="M22" s="55">
        <v>2.407057</v>
      </c>
      <c r="N22" s="52">
        <v>0.32834099999999999</v>
      </c>
      <c r="O22" s="55">
        <v>111.6564</v>
      </c>
      <c r="P22" s="52">
        <v>7.4822E-2</v>
      </c>
      <c r="Q22" s="111">
        <v>0.15604199999999999</v>
      </c>
      <c r="R22" s="113">
        <v>1035908887.8036</v>
      </c>
    </row>
    <row r="23" spans="2:21">
      <c r="B23" s="70" t="s">
        <v>27</v>
      </c>
      <c r="C23" s="57"/>
      <c r="D23" s="58"/>
      <c r="E23" s="58"/>
      <c r="F23" s="58"/>
      <c r="G23" s="58"/>
      <c r="H23" s="59"/>
      <c r="I23" s="58"/>
      <c r="J23" s="58"/>
      <c r="K23" s="58"/>
      <c r="L23" s="58"/>
      <c r="M23" s="58"/>
      <c r="N23" s="58"/>
      <c r="O23" s="58"/>
      <c r="P23" s="58"/>
      <c r="Q23" s="58"/>
      <c r="R23" s="59"/>
    </row>
    <row r="24" spans="2:21">
      <c r="B24" s="174">
        <v>2015</v>
      </c>
      <c r="C24" s="160">
        <v>32008</v>
      </c>
      <c r="D24" s="166">
        <v>5911</v>
      </c>
      <c r="E24" s="166">
        <v>5309</v>
      </c>
      <c r="F24" s="166">
        <v>19250</v>
      </c>
      <c r="G24" s="166">
        <v>71904</v>
      </c>
      <c r="H24" s="49">
        <v>18326912</v>
      </c>
      <c r="I24" s="169">
        <v>33724</v>
      </c>
      <c r="J24" s="169">
        <v>20214</v>
      </c>
      <c r="K24" s="166">
        <v>87207</v>
      </c>
      <c r="L24" s="166">
        <v>41164</v>
      </c>
      <c r="M24" s="51">
        <v>2.5859030000000001</v>
      </c>
      <c r="N24" s="52">
        <v>0.185194</v>
      </c>
      <c r="O24" s="51">
        <v>38.043979999999998</v>
      </c>
      <c r="P24" s="52">
        <v>2.648E-2</v>
      </c>
      <c r="Q24" s="111">
        <v>0.13206200000000001</v>
      </c>
      <c r="R24" s="113">
        <v>302423408971.97638</v>
      </c>
    </row>
    <row r="25" spans="2:21" ht="16.5" customHeight="1" thickBot="1">
      <c r="B25" s="176">
        <v>2016</v>
      </c>
      <c r="C25" s="160">
        <v>1074</v>
      </c>
      <c r="D25" s="166">
        <v>138</v>
      </c>
      <c r="E25" s="166">
        <v>60</v>
      </c>
      <c r="F25" s="166">
        <v>285</v>
      </c>
      <c r="G25" s="166">
        <v>100</v>
      </c>
      <c r="H25" s="49">
        <v>233240</v>
      </c>
      <c r="I25" s="169">
        <v>47</v>
      </c>
      <c r="J25" s="169">
        <v>39</v>
      </c>
      <c r="K25" s="166">
        <v>66</v>
      </c>
      <c r="L25" s="166">
        <v>46</v>
      </c>
      <c r="M25" s="55">
        <v>1.404255</v>
      </c>
      <c r="N25" s="52">
        <v>4.9318000000000001E-2</v>
      </c>
      <c r="O25" s="55">
        <v>241.803</v>
      </c>
      <c r="P25" s="52">
        <v>0.22556399999999999</v>
      </c>
      <c r="Q25" s="111">
        <v>0.24812000000000001</v>
      </c>
      <c r="R25" s="113">
        <v>1579940.8019999999</v>
      </c>
    </row>
    <row r="26" spans="2:21">
      <c r="B26" s="70" t="s">
        <v>20</v>
      </c>
      <c r="C26" s="57"/>
      <c r="D26" s="58"/>
      <c r="E26" s="58"/>
      <c r="F26" s="58"/>
      <c r="G26" s="58"/>
      <c r="H26" s="59"/>
      <c r="I26" s="58"/>
      <c r="J26" s="58"/>
      <c r="K26" s="58"/>
      <c r="L26" s="58"/>
      <c r="M26" s="58"/>
      <c r="N26" s="58"/>
      <c r="O26" s="58"/>
      <c r="P26" s="58"/>
      <c r="Q26" s="58"/>
      <c r="R26" s="59"/>
    </row>
    <row r="27" spans="2:21">
      <c r="B27" s="174">
        <v>2015</v>
      </c>
      <c r="C27" s="160">
        <v>30117</v>
      </c>
      <c r="D27" s="166">
        <v>7555</v>
      </c>
      <c r="E27" s="166">
        <v>12842</v>
      </c>
      <c r="F27" s="166">
        <v>32756</v>
      </c>
      <c r="G27" s="166">
        <v>57653</v>
      </c>
      <c r="H27" s="49">
        <v>8977933</v>
      </c>
      <c r="I27" s="169">
        <v>19080</v>
      </c>
      <c r="J27" s="169">
        <v>10853</v>
      </c>
      <c r="K27" s="166">
        <v>54162</v>
      </c>
      <c r="L27" s="166">
        <v>18210</v>
      </c>
      <c r="M27" s="51">
        <v>2.838679</v>
      </c>
      <c r="N27" s="52">
        <v>0.355182</v>
      </c>
      <c r="O27" s="51">
        <v>44.610520000000001</v>
      </c>
      <c r="P27" s="52">
        <v>2.7085999999999999E-2</v>
      </c>
      <c r="Q27" s="111">
        <v>6.0444999999999999E-2</v>
      </c>
      <c r="R27" s="113">
        <v>123594413931.33661</v>
      </c>
    </row>
    <row r="28" spans="2:21" ht="15.75" thickBot="1">
      <c r="B28" s="176">
        <v>2016</v>
      </c>
      <c r="C28" s="160">
        <v>2897</v>
      </c>
      <c r="D28" s="166">
        <v>668</v>
      </c>
      <c r="E28" s="166">
        <v>584</v>
      </c>
      <c r="F28" s="166">
        <v>1935</v>
      </c>
      <c r="G28" s="166">
        <v>1709</v>
      </c>
      <c r="H28" s="49">
        <v>727267</v>
      </c>
      <c r="I28" s="169">
        <v>773</v>
      </c>
      <c r="J28" s="169">
        <v>472</v>
      </c>
      <c r="K28" s="166">
        <v>1639</v>
      </c>
      <c r="L28" s="166">
        <v>675</v>
      </c>
      <c r="M28" s="55">
        <v>2.1203099999999999</v>
      </c>
      <c r="N28" s="52">
        <v>0.15562699999999999</v>
      </c>
      <c r="O28" s="55">
        <v>36.96949</v>
      </c>
      <c r="P28" s="52">
        <v>6.3500000000000001E-2</v>
      </c>
      <c r="Q28" s="111">
        <v>0.133301</v>
      </c>
      <c r="R28" s="113">
        <v>107825233.01874501</v>
      </c>
    </row>
    <row r="29" spans="2:21">
      <c r="B29" s="70" t="s">
        <v>22</v>
      </c>
      <c r="C29" s="57"/>
      <c r="D29" s="58"/>
      <c r="E29" s="58"/>
      <c r="F29" s="58"/>
      <c r="G29" s="58"/>
      <c r="H29" s="59"/>
      <c r="I29" s="58"/>
      <c r="J29" s="58"/>
      <c r="K29" s="58"/>
      <c r="L29" s="58"/>
      <c r="M29" s="58"/>
      <c r="N29" s="58"/>
      <c r="O29" s="58"/>
      <c r="P29" s="58"/>
      <c r="Q29" s="58"/>
      <c r="R29" s="59"/>
    </row>
    <row r="30" spans="2:21">
      <c r="B30" s="174">
        <v>2015</v>
      </c>
      <c r="C30" s="160">
        <v>22768</v>
      </c>
      <c r="D30" s="166">
        <v>3133</v>
      </c>
      <c r="E30" s="166">
        <v>4604</v>
      </c>
      <c r="F30" s="166">
        <v>9514</v>
      </c>
      <c r="G30" s="166">
        <v>34053</v>
      </c>
      <c r="H30" s="49">
        <v>11323615</v>
      </c>
      <c r="I30" s="169">
        <v>13290</v>
      </c>
      <c r="J30" s="169">
        <v>5466</v>
      </c>
      <c r="K30" s="166">
        <v>43076</v>
      </c>
      <c r="L30" s="166">
        <v>7723</v>
      </c>
      <c r="M30" s="51">
        <v>3.2412339999999999</v>
      </c>
      <c r="N30" s="52">
        <v>0.211756</v>
      </c>
      <c r="O30" s="51">
        <v>78.94435</v>
      </c>
      <c r="P30" s="52">
        <v>3.9822000000000003E-2</v>
      </c>
      <c r="Q30" s="111">
        <v>6.9373000000000004E-2</v>
      </c>
      <c r="R30" s="113">
        <v>118264603703.4165</v>
      </c>
    </row>
    <row r="31" spans="2:21" ht="15.75" thickBot="1">
      <c r="B31" s="176">
        <v>2016</v>
      </c>
      <c r="C31" s="160">
        <v>4503</v>
      </c>
      <c r="D31" s="166">
        <v>518</v>
      </c>
      <c r="E31" s="166">
        <v>267</v>
      </c>
      <c r="F31" s="166">
        <v>1236</v>
      </c>
      <c r="G31" s="166">
        <v>446</v>
      </c>
      <c r="H31" s="49">
        <v>872521</v>
      </c>
      <c r="I31" s="169">
        <v>153</v>
      </c>
      <c r="J31" s="169">
        <v>133</v>
      </c>
      <c r="K31" s="166">
        <v>285</v>
      </c>
      <c r="L31" s="166">
        <v>190</v>
      </c>
      <c r="M31" s="55">
        <v>1.8627450000000001</v>
      </c>
      <c r="N31" s="52">
        <v>4.7456999999999999E-2</v>
      </c>
      <c r="O31" s="55">
        <v>472.79300000000001</v>
      </c>
      <c r="P31" s="52">
        <v>0.17300399999999999</v>
      </c>
      <c r="Q31" s="111">
        <v>0.23193900000000001</v>
      </c>
      <c r="R31" s="113">
        <v>51270854.902500004</v>
      </c>
    </row>
    <row r="32" spans="2:21">
      <c r="B32" s="70" t="s">
        <v>19</v>
      </c>
      <c r="C32" s="57"/>
      <c r="D32" s="58"/>
      <c r="E32" s="58"/>
      <c r="F32" s="58"/>
      <c r="G32" s="58"/>
      <c r="H32" s="59"/>
      <c r="I32" s="58"/>
      <c r="J32" s="58"/>
      <c r="K32" s="58"/>
      <c r="L32" s="58"/>
      <c r="M32" s="58"/>
      <c r="N32" s="58"/>
      <c r="O32" s="58"/>
      <c r="P32" s="58"/>
      <c r="Q32" s="58"/>
      <c r="R32" s="59"/>
    </row>
    <row r="33" spans="2:18">
      <c r="B33" s="176">
        <v>2015</v>
      </c>
      <c r="C33" s="160">
        <v>10798</v>
      </c>
      <c r="D33" s="166">
        <v>2726</v>
      </c>
      <c r="E33" s="166">
        <v>1657</v>
      </c>
      <c r="F33" s="166">
        <v>13529</v>
      </c>
      <c r="G33" s="166">
        <v>52474</v>
      </c>
      <c r="H33" s="49">
        <v>8428609</v>
      </c>
      <c r="I33" s="169">
        <v>19200</v>
      </c>
      <c r="J33" s="169">
        <v>3342</v>
      </c>
      <c r="K33" s="166">
        <v>54921</v>
      </c>
      <c r="L33" s="166">
        <v>2968</v>
      </c>
      <c r="M33" s="51">
        <v>2.8604690000000002</v>
      </c>
      <c r="N33" s="52">
        <v>0.33156600000000003</v>
      </c>
      <c r="O33" s="51">
        <v>34.220350000000003</v>
      </c>
      <c r="P33" s="52">
        <v>1.6736999999999998E-2</v>
      </c>
      <c r="Q33" s="111">
        <v>3.6066000000000001E-2</v>
      </c>
      <c r="R33" s="113">
        <v>75581647808.026443</v>
      </c>
    </row>
    <row r="34" spans="2:18" ht="15.75" thickBot="1">
      <c r="B34" s="176">
        <v>2016</v>
      </c>
      <c r="C34" s="160">
        <v>1566</v>
      </c>
      <c r="D34" s="166">
        <v>315</v>
      </c>
      <c r="E34" s="166">
        <v>175</v>
      </c>
      <c r="F34" s="166">
        <v>1004</v>
      </c>
      <c r="G34" s="166">
        <v>645</v>
      </c>
      <c r="H34" s="49">
        <v>663141</v>
      </c>
      <c r="I34" s="169">
        <v>389</v>
      </c>
      <c r="J34" s="169">
        <v>164</v>
      </c>
      <c r="K34" s="166">
        <v>839</v>
      </c>
      <c r="L34" s="166">
        <v>219</v>
      </c>
      <c r="M34" s="54">
        <v>2.156812</v>
      </c>
      <c r="N34" s="52">
        <v>0.16883699999999999</v>
      </c>
      <c r="O34" s="54">
        <v>108.53870000000001</v>
      </c>
      <c r="P34" s="52">
        <v>3.1659E-2</v>
      </c>
      <c r="Q34" s="111">
        <v>4.4760000000000001E-2</v>
      </c>
      <c r="R34" s="113">
        <v>73352027.271150008</v>
      </c>
    </row>
    <row r="35" spans="2:18">
      <c r="B35" s="70" t="s">
        <v>24</v>
      </c>
      <c r="C35" s="57"/>
      <c r="D35" s="58"/>
      <c r="E35" s="58"/>
      <c r="F35" s="58"/>
      <c r="G35" s="58"/>
      <c r="H35" s="59"/>
      <c r="I35" s="58"/>
      <c r="J35" s="58"/>
      <c r="K35" s="58"/>
      <c r="L35" s="58"/>
      <c r="M35" s="58"/>
      <c r="N35" s="58"/>
      <c r="O35" s="58"/>
      <c r="P35" s="58"/>
      <c r="Q35" s="58"/>
      <c r="R35" s="59"/>
    </row>
    <row r="36" spans="2:18">
      <c r="B36" s="176">
        <v>2015</v>
      </c>
      <c r="C36" s="160">
        <v>9327</v>
      </c>
      <c r="D36" s="166">
        <v>1388</v>
      </c>
      <c r="E36" s="166">
        <v>2151</v>
      </c>
      <c r="F36" s="166">
        <v>6138</v>
      </c>
      <c r="G36" s="166">
        <v>8032</v>
      </c>
      <c r="H36" s="49">
        <v>4805830</v>
      </c>
      <c r="I36" s="169">
        <v>4698</v>
      </c>
      <c r="J36" s="169">
        <v>1016</v>
      </c>
      <c r="K36" s="166">
        <v>13533</v>
      </c>
      <c r="L36" s="166">
        <v>1344</v>
      </c>
      <c r="M36" s="51">
        <v>2.8805869999999998</v>
      </c>
      <c r="N36" s="52">
        <v>0.16434000000000001</v>
      </c>
      <c r="O36" s="51">
        <v>48.194929999999999</v>
      </c>
      <c r="P36" s="52">
        <v>1.9972E-2</v>
      </c>
      <c r="Q36" s="111">
        <v>2.8941999999999999E-2</v>
      </c>
      <c r="R36" s="113">
        <v>6714951474.2623949</v>
      </c>
    </row>
    <row r="37" spans="2:18" ht="15.75" thickBot="1">
      <c r="B37" s="176">
        <v>2016</v>
      </c>
      <c r="C37" s="160">
        <v>1762</v>
      </c>
      <c r="D37" s="166">
        <v>260</v>
      </c>
      <c r="E37" s="166">
        <v>78</v>
      </c>
      <c r="F37" s="166">
        <v>663</v>
      </c>
      <c r="G37" s="166">
        <v>313</v>
      </c>
      <c r="H37" s="49">
        <v>410425</v>
      </c>
      <c r="I37" s="169">
        <v>173</v>
      </c>
      <c r="J37" s="169">
        <v>75</v>
      </c>
      <c r="K37" s="166">
        <v>201</v>
      </c>
      <c r="L37" s="166">
        <v>88</v>
      </c>
      <c r="M37" s="54">
        <v>1.16185</v>
      </c>
      <c r="N37" s="52">
        <v>0.11626300000000001</v>
      </c>
      <c r="O37" s="54">
        <v>72.746269999999996</v>
      </c>
      <c r="P37" s="52">
        <v>0.153584</v>
      </c>
      <c r="Q37" s="111">
        <v>0.156997</v>
      </c>
      <c r="R37" s="113">
        <v>3926007.0724949995</v>
      </c>
    </row>
    <row r="38" spans="2:18">
      <c r="B38" s="70" t="s">
        <v>23</v>
      </c>
      <c r="C38" s="57"/>
      <c r="D38" s="58"/>
      <c r="E38" s="58"/>
      <c r="F38" s="58"/>
      <c r="G38" s="58"/>
      <c r="H38" s="59"/>
      <c r="I38" s="58"/>
      <c r="J38" s="58"/>
      <c r="K38" s="58"/>
      <c r="L38" s="58"/>
      <c r="M38" s="58"/>
      <c r="N38" s="58"/>
      <c r="O38" s="58"/>
      <c r="P38" s="58"/>
      <c r="Q38" s="58"/>
      <c r="R38" s="114"/>
    </row>
    <row r="39" spans="2:18">
      <c r="B39" s="174">
        <v>2015</v>
      </c>
      <c r="C39" s="160">
        <v>8989</v>
      </c>
      <c r="D39" s="166">
        <v>2178</v>
      </c>
      <c r="E39" s="166">
        <v>1421</v>
      </c>
      <c r="F39" s="166">
        <v>8917</v>
      </c>
      <c r="G39" s="166">
        <v>12095</v>
      </c>
      <c r="H39" s="49">
        <v>3031942</v>
      </c>
      <c r="I39" s="169">
        <v>5392</v>
      </c>
      <c r="J39" s="169">
        <v>1729</v>
      </c>
      <c r="K39" s="166">
        <v>13284</v>
      </c>
      <c r="L39" s="166">
        <v>1821</v>
      </c>
      <c r="M39" s="51">
        <v>2.4636499999999999</v>
      </c>
      <c r="N39" s="52">
        <v>0.12982399999999999</v>
      </c>
      <c r="O39" s="51">
        <v>21.425319999999999</v>
      </c>
      <c r="P39" s="52">
        <v>2.2794999999999999E-2</v>
      </c>
      <c r="Q39" s="111">
        <v>4.2046E-2</v>
      </c>
      <c r="R39" s="113">
        <v>3162914836.1294403</v>
      </c>
    </row>
    <row r="40" spans="2:18" ht="15.75" thickBot="1">
      <c r="B40" s="176">
        <v>2016</v>
      </c>
      <c r="C40" s="160">
        <v>1185</v>
      </c>
      <c r="D40" s="166">
        <v>219</v>
      </c>
      <c r="E40" s="166">
        <v>150</v>
      </c>
      <c r="F40" s="166">
        <v>541</v>
      </c>
      <c r="G40" s="166">
        <v>370</v>
      </c>
      <c r="H40" s="49">
        <v>100461</v>
      </c>
      <c r="I40" s="169">
        <v>180</v>
      </c>
      <c r="J40" s="169">
        <v>137</v>
      </c>
      <c r="K40" s="166">
        <v>352</v>
      </c>
      <c r="L40" s="166">
        <v>175</v>
      </c>
      <c r="M40" s="54">
        <v>1.9555560000000001</v>
      </c>
      <c r="N40" s="52">
        <v>0.176817</v>
      </c>
      <c r="O40" s="54">
        <v>63.957389999999997</v>
      </c>
      <c r="P40" s="52">
        <v>7.5269000000000003E-2</v>
      </c>
      <c r="Q40" s="111">
        <v>0.14408599999999999</v>
      </c>
      <c r="R40" s="113">
        <v>9500486.5401600003</v>
      </c>
    </row>
    <row r="41" spans="2:18">
      <c r="B41" s="70" t="s">
        <v>25</v>
      </c>
      <c r="C41" s="57"/>
      <c r="D41" s="58"/>
      <c r="E41" s="58"/>
      <c r="F41" s="58"/>
      <c r="G41" s="58"/>
      <c r="H41" s="59"/>
      <c r="I41" s="58"/>
      <c r="J41" s="58"/>
      <c r="K41" s="58"/>
      <c r="L41" s="58"/>
      <c r="M41" s="58"/>
      <c r="N41" s="58"/>
      <c r="O41" s="58"/>
      <c r="P41" s="58"/>
      <c r="Q41" s="58"/>
      <c r="R41" s="59"/>
    </row>
    <row r="42" spans="2:18">
      <c r="B42" s="176">
        <v>2015</v>
      </c>
      <c r="C42" s="160">
        <v>21195</v>
      </c>
      <c r="D42" s="166">
        <v>1965</v>
      </c>
      <c r="E42" s="166">
        <v>812</v>
      </c>
      <c r="F42" s="166">
        <v>5694</v>
      </c>
      <c r="G42" s="166">
        <v>1671</v>
      </c>
      <c r="H42" s="49">
        <v>8524998</v>
      </c>
      <c r="I42" s="169">
        <v>963</v>
      </c>
      <c r="J42" s="169">
        <v>673</v>
      </c>
      <c r="K42" s="166">
        <v>1843</v>
      </c>
      <c r="L42" s="166">
        <v>874</v>
      </c>
      <c r="M42" s="51">
        <v>1.9138109999999999</v>
      </c>
      <c r="N42" s="52">
        <v>9.5186000000000007E-2</v>
      </c>
      <c r="O42" s="51">
        <v>219.48179999999999</v>
      </c>
      <c r="P42" s="52">
        <v>8.1257999999999997E-2</v>
      </c>
      <c r="Q42" s="111">
        <v>0.133932</v>
      </c>
      <c r="R42" s="113">
        <v>880405039.78110003</v>
      </c>
    </row>
    <row r="43" spans="2:18" ht="15.75" thickBot="1">
      <c r="B43" s="175">
        <v>2016</v>
      </c>
      <c r="C43" s="161">
        <v>2412</v>
      </c>
      <c r="D43" s="171">
        <v>251</v>
      </c>
      <c r="E43" s="171">
        <v>60</v>
      </c>
      <c r="F43" s="171">
        <v>569</v>
      </c>
      <c r="G43" s="171">
        <v>126</v>
      </c>
      <c r="H43" s="92">
        <v>1037953</v>
      </c>
      <c r="I43" s="170">
        <v>41</v>
      </c>
      <c r="J43" s="170">
        <v>37</v>
      </c>
      <c r="K43" s="171">
        <v>93</v>
      </c>
      <c r="L43" s="171">
        <v>46</v>
      </c>
      <c r="M43" s="55">
        <v>2.2682929999999999</v>
      </c>
      <c r="N43" s="93">
        <v>6.2026999999999999E-2</v>
      </c>
      <c r="O43" s="55">
        <v>403.30110000000002</v>
      </c>
      <c r="P43" s="93">
        <v>0.23873900000000001</v>
      </c>
      <c r="Q43" s="112">
        <v>0.31531500000000001</v>
      </c>
      <c r="R43" s="115">
        <v>4069509.7495499998</v>
      </c>
    </row>
    <row r="45" spans="2:18">
      <c r="B45" s="187" t="s">
        <v>28</v>
      </c>
      <c r="C45" s="188"/>
      <c r="D45" s="189" t="s">
        <v>29</v>
      </c>
      <c r="E45" s="190"/>
      <c r="F45" s="190"/>
      <c r="G45" s="191"/>
      <c r="H45" s="18"/>
      <c r="I45" s="18"/>
      <c r="J45" s="18"/>
    </row>
    <row r="46" spans="2:18">
      <c r="B46" s="187" t="s">
        <v>30</v>
      </c>
      <c r="C46" s="188"/>
      <c r="D46" s="189" t="s">
        <v>31</v>
      </c>
      <c r="E46" s="190"/>
      <c r="F46" s="190"/>
      <c r="G46" s="191"/>
      <c r="H46" s="18"/>
      <c r="I46" s="18"/>
      <c r="J46" s="18"/>
    </row>
    <row r="48" spans="2:18" ht="15.75" thickBot="1"/>
    <row r="49" spans="2:21" ht="27.75" customHeight="1">
      <c r="B49" s="196" t="s">
        <v>28</v>
      </c>
      <c r="C49" s="197"/>
      <c r="D49" s="203" t="s">
        <v>32</v>
      </c>
      <c r="E49" s="206"/>
      <c r="F49" s="227" t="s">
        <v>33</v>
      </c>
      <c r="G49" s="228"/>
      <c r="H49" s="228"/>
      <c r="I49" s="228"/>
      <c r="J49" s="228"/>
      <c r="K49" s="228"/>
      <c r="L49" s="228"/>
      <c r="M49" s="228"/>
      <c r="N49" s="228"/>
      <c r="O49" s="228"/>
      <c r="P49" s="228"/>
      <c r="Q49" s="229"/>
      <c r="R49" s="230"/>
      <c r="T49" s="17"/>
      <c r="U49" s="17"/>
    </row>
    <row r="50" spans="2:21" ht="27.75" customHeight="1">
      <c r="B50" s="198"/>
      <c r="C50" s="199"/>
      <c r="D50" s="205" t="s">
        <v>5</v>
      </c>
      <c r="E50" s="207"/>
      <c r="F50" s="213" t="s">
        <v>34</v>
      </c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5"/>
      <c r="R50" s="216"/>
    </row>
    <row r="51" spans="2:21" ht="27.75" customHeight="1">
      <c r="B51" s="198"/>
      <c r="C51" s="199"/>
      <c r="D51" s="205" t="s">
        <v>6</v>
      </c>
      <c r="E51" s="207"/>
      <c r="F51" s="213" t="s">
        <v>35</v>
      </c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5"/>
      <c r="R51" s="216"/>
    </row>
    <row r="52" spans="2:21" ht="27.75" customHeight="1">
      <c r="B52" s="198"/>
      <c r="C52" s="199"/>
      <c r="D52" s="205" t="s">
        <v>36</v>
      </c>
      <c r="E52" s="207"/>
      <c r="F52" s="213" t="s">
        <v>37</v>
      </c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5"/>
      <c r="R52" s="216"/>
    </row>
    <row r="53" spans="2:21" ht="27.75" customHeight="1">
      <c r="B53" s="198"/>
      <c r="C53" s="199"/>
      <c r="D53" s="205" t="s">
        <v>38</v>
      </c>
      <c r="E53" s="207"/>
      <c r="F53" s="213" t="s">
        <v>39</v>
      </c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5"/>
      <c r="R53" s="216"/>
    </row>
    <row r="54" spans="2:21" ht="27.75" customHeight="1" thickBot="1">
      <c r="B54" s="200"/>
      <c r="C54" s="201"/>
      <c r="D54" s="194" t="s">
        <v>9</v>
      </c>
      <c r="E54" s="195"/>
      <c r="F54" s="231" t="s">
        <v>40</v>
      </c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3"/>
      <c r="R54" s="234"/>
    </row>
    <row r="55" spans="2:21" ht="27.75" customHeight="1">
      <c r="B55" s="196" t="s">
        <v>30</v>
      </c>
      <c r="C55" s="197"/>
      <c r="D55" s="202" t="s">
        <v>10</v>
      </c>
      <c r="E55" s="203"/>
      <c r="F55" s="227" t="s">
        <v>41</v>
      </c>
      <c r="G55" s="228"/>
      <c r="H55" s="228"/>
      <c r="I55" s="228"/>
      <c r="J55" s="228"/>
      <c r="K55" s="228"/>
      <c r="L55" s="228"/>
      <c r="M55" s="228"/>
      <c r="N55" s="228"/>
      <c r="O55" s="228"/>
      <c r="P55" s="228"/>
      <c r="Q55" s="229"/>
      <c r="R55" s="230"/>
    </row>
    <row r="56" spans="2:21" ht="27.75" customHeight="1">
      <c r="B56" s="198"/>
      <c r="C56" s="199"/>
      <c r="D56" s="204" t="s">
        <v>11</v>
      </c>
      <c r="E56" s="205"/>
      <c r="F56" s="213" t="s">
        <v>42</v>
      </c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5"/>
      <c r="R56" s="216"/>
    </row>
    <row r="57" spans="2:21" ht="27.75" customHeight="1">
      <c r="B57" s="198"/>
      <c r="C57" s="199"/>
      <c r="D57" s="204" t="s">
        <v>12</v>
      </c>
      <c r="E57" s="205"/>
      <c r="F57" s="213" t="s">
        <v>43</v>
      </c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5"/>
      <c r="R57" s="216"/>
    </row>
    <row r="58" spans="2:21" ht="27.75" customHeight="1">
      <c r="B58" s="198"/>
      <c r="C58" s="199"/>
      <c r="D58" s="204" t="s">
        <v>13</v>
      </c>
      <c r="E58" s="205"/>
      <c r="F58" s="213" t="s">
        <v>44</v>
      </c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5"/>
      <c r="R58" s="216"/>
    </row>
    <row r="59" spans="2:21" ht="27.75" customHeight="1">
      <c r="B59" s="198"/>
      <c r="C59" s="199"/>
      <c r="D59" s="204" t="s">
        <v>45</v>
      </c>
      <c r="E59" s="205"/>
      <c r="F59" s="213" t="s">
        <v>46</v>
      </c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5"/>
      <c r="R59" s="216"/>
      <c r="T59" s="17"/>
      <c r="U59" s="17"/>
    </row>
    <row r="60" spans="2:21" ht="27.75" customHeight="1">
      <c r="B60" s="198"/>
      <c r="C60" s="199"/>
      <c r="D60" s="204" t="s">
        <v>47</v>
      </c>
      <c r="E60" s="205"/>
      <c r="F60" s="213" t="s">
        <v>48</v>
      </c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5"/>
      <c r="R60" s="216"/>
    </row>
    <row r="61" spans="2:21" ht="48" customHeight="1">
      <c r="B61" s="198"/>
      <c r="C61" s="199"/>
      <c r="D61" s="204" t="s">
        <v>15</v>
      </c>
      <c r="E61" s="205"/>
      <c r="F61" s="213" t="s">
        <v>49</v>
      </c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5"/>
      <c r="R61" s="216"/>
    </row>
    <row r="62" spans="2:21" ht="27.75" customHeight="1" thickBot="1">
      <c r="B62" s="200"/>
      <c r="C62" s="201"/>
      <c r="D62" s="208" t="s">
        <v>16</v>
      </c>
      <c r="E62" s="194"/>
      <c r="F62" s="217" t="s">
        <v>50</v>
      </c>
      <c r="G62" s="218"/>
      <c r="H62" s="218"/>
      <c r="I62" s="218"/>
      <c r="J62" s="218"/>
      <c r="K62" s="218"/>
      <c r="L62" s="218"/>
      <c r="M62" s="218"/>
      <c r="N62" s="218"/>
      <c r="O62" s="218"/>
      <c r="P62" s="218"/>
      <c r="Q62" s="219"/>
      <c r="R62" s="220"/>
    </row>
    <row r="63" spans="2:21"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</row>
    <row r="68" ht="16.5" customHeight="1"/>
    <row r="72" ht="16.5" customHeight="1"/>
    <row r="99" spans="2:18" ht="30" customHeight="1"/>
    <row r="104" spans="2:18" s="19" customFormat="1" ht="27.75" customHeight="1">
      <c r="B104" s="143"/>
      <c r="C104" s="143"/>
      <c r="D104" s="143"/>
      <c r="E104" s="143"/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</row>
    <row r="105" spans="2:18" s="19" customFormat="1" ht="27.75" customHeight="1">
      <c r="B105" s="143"/>
      <c r="C105" s="143"/>
      <c r="D105" s="143"/>
      <c r="E105" s="143"/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</row>
    <row r="106" spans="2:18" s="19" customFormat="1" ht="27.75" customHeight="1">
      <c r="B106" s="143"/>
      <c r="C106" s="143"/>
      <c r="D106" s="143"/>
      <c r="E106" s="143"/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</row>
    <row r="107" spans="2:18" s="19" customFormat="1" ht="27.75" customHeight="1">
      <c r="B107" s="143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</row>
    <row r="108" spans="2:18" s="19" customFormat="1" ht="27.75" customHeight="1">
      <c r="B108" s="143"/>
      <c r="C108" s="143"/>
      <c r="D108" s="143"/>
      <c r="E108" s="143"/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</row>
    <row r="109" spans="2:18" s="19" customFormat="1" ht="27.75" customHeight="1">
      <c r="B109" s="143"/>
      <c r="C109" s="143"/>
      <c r="D109" s="143"/>
      <c r="E109" s="143"/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</row>
    <row r="110" spans="2:18" s="19" customFormat="1" ht="27.75" customHeight="1">
      <c r="B110" s="143"/>
      <c r="C110" s="143"/>
      <c r="D110" s="143"/>
      <c r="E110" s="143"/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</row>
    <row r="111" spans="2:18" s="19" customFormat="1" ht="27.75" customHeight="1">
      <c r="B111" s="143"/>
      <c r="C111" s="143"/>
      <c r="D111" s="143"/>
      <c r="E111" s="143"/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</row>
    <row r="112" spans="2:18" s="19" customFormat="1" ht="27.75" customHeight="1"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</row>
    <row r="113" spans="2:18" s="19" customFormat="1" ht="27.75" customHeight="1"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</row>
    <row r="114" spans="2:18" s="19" customFormat="1" ht="27.75" customHeight="1"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</row>
    <row r="115" spans="2:18" s="19" customFormat="1" ht="27.75" customHeight="1"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</row>
    <row r="116" spans="2:18" s="19" customFormat="1" ht="41.25" customHeight="1"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</row>
    <row r="117" spans="2:18" s="19" customFormat="1" ht="27.75" customHeight="1"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</row>
    <row r="118" spans="2:18" s="19" customFormat="1" ht="25.5" customHeight="1"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</row>
  </sheetData>
  <mergeCells count="37">
    <mergeCell ref="F51:R51"/>
    <mergeCell ref="D52:E52"/>
    <mergeCell ref="F52:R52"/>
    <mergeCell ref="D53:E53"/>
    <mergeCell ref="B2:R2"/>
    <mergeCell ref="C6:H6"/>
    <mergeCell ref="I6:R6"/>
    <mergeCell ref="B45:C45"/>
    <mergeCell ref="D45:G45"/>
    <mergeCell ref="B46:C46"/>
    <mergeCell ref="D46:G46"/>
    <mergeCell ref="F53:R53"/>
    <mergeCell ref="D54:E54"/>
    <mergeCell ref="F54:R54"/>
    <mergeCell ref="B55:C62"/>
    <mergeCell ref="D55:E55"/>
    <mergeCell ref="F55:R55"/>
    <mergeCell ref="D56:E56"/>
    <mergeCell ref="F56:R56"/>
    <mergeCell ref="D57:E57"/>
    <mergeCell ref="F57:R57"/>
    <mergeCell ref="B49:C54"/>
    <mergeCell ref="D49:E49"/>
    <mergeCell ref="F49:R49"/>
    <mergeCell ref="D50:E50"/>
    <mergeCell ref="F50:R50"/>
    <mergeCell ref="D51:E51"/>
    <mergeCell ref="D61:E61"/>
    <mergeCell ref="F61:R61"/>
    <mergeCell ref="D62:E62"/>
    <mergeCell ref="F62:R62"/>
    <mergeCell ref="D58:E58"/>
    <mergeCell ref="F58:R58"/>
    <mergeCell ref="D59:E59"/>
    <mergeCell ref="F59:R59"/>
    <mergeCell ref="D60:E60"/>
    <mergeCell ref="F60:R60"/>
  </mergeCells>
  <pageMargins left="0.511811024" right="0.511811024" top="0.78740157499999996" bottom="0.78740157499999996" header="0.31496062000000002" footer="0.31496062000000002"/>
  <pageSetup paperSize="9" scale="32" orientation="landscape" r:id="rId1"/>
  <colBreaks count="1" manualBreakCount="1">
    <brk id="18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/>
  <dimension ref="B1:U106"/>
  <sheetViews>
    <sheetView showGridLines="0" zoomScale="70" zoomScaleNormal="70" workbookViewId="0">
      <selection activeCell="E7" sqref="E7"/>
    </sheetView>
  </sheetViews>
  <sheetFormatPr defaultRowHeight="15"/>
  <cols>
    <col min="1" max="1" width="5.7109375" style="143" customWidth="1"/>
    <col min="2" max="2" width="20" style="143" customWidth="1"/>
    <col min="3" max="3" width="10.28515625" style="143" customWidth="1"/>
    <col min="4" max="4" width="11.85546875" style="143" customWidth="1"/>
    <col min="5" max="5" width="13.42578125" style="143" customWidth="1"/>
    <col min="6" max="6" width="13.5703125" style="143" customWidth="1"/>
    <col min="7" max="7" width="12.140625" style="143" customWidth="1"/>
    <col min="8" max="8" width="15.7109375" style="143" customWidth="1"/>
    <col min="9" max="10" width="11.5703125" style="143" customWidth="1"/>
    <col min="11" max="12" width="13.28515625" style="143" customWidth="1"/>
    <col min="13" max="13" width="16.7109375" style="143" customWidth="1"/>
    <col min="14" max="14" width="12.7109375" style="143" customWidth="1"/>
    <col min="15" max="15" width="14.85546875" style="143" customWidth="1"/>
    <col min="16" max="17" width="14.42578125" style="143" customWidth="1"/>
    <col min="18" max="18" width="19.140625" style="143" customWidth="1"/>
    <col min="19" max="16384" width="9.140625" style="143"/>
  </cols>
  <sheetData>
    <row r="1" spans="2:21" ht="15.75" thickBot="1"/>
    <row r="2" spans="2:21" s="1" customFormat="1" ht="40.5" customHeight="1" thickBot="1">
      <c r="B2" s="179" t="s">
        <v>97</v>
      </c>
      <c r="C2" s="180"/>
      <c r="D2" s="180"/>
      <c r="E2" s="180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</row>
    <row r="3" spans="2:21" ht="15.75" thickBot="1"/>
    <row r="4" spans="2:21" ht="15.75" thickBot="1">
      <c r="B4" s="2" t="s">
        <v>1</v>
      </c>
      <c r="C4" s="3">
        <f ca="1">TODAY()</f>
        <v>42388</v>
      </c>
      <c r="D4" s="4"/>
      <c r="E4" s="4"/>
      <c r="K4" s="5"/>
      <c r="L4" s="5"/>
      <c r="M4" s="5"/>
      <c r="N4" s="5"/>
      <c r="O4" s="5"/>
    </row>
    <row r="5" spans="2:21" ht="15.75" thickBot="1">
      <c r="B5" s="6"/>
      <c r="C5" s="6"/>
      <c r="D5" s="6"/>
      <c r="E5" s="6"/>
      <c r="G5" s="5"/>
      <c r="H5" s="5"/>
      <c r="I5" s="5"/>
      <c r="J5" s="5"/>
      <c r="K5" s="5"/>
      <c r="L5" s="5"/>
      <c r="M5" s="5"/>
      <c r="N5" s="5"/>
      <c r="O5" s="5"/>
    </row>
    <row r="6" spans="2:21" ht="24" thickBot="1">
      <c r="B6" s="7"/>
      <c r="C6" s="182" t="s">
        <v>2</v>
      </c>
      <c r="D6" s="183"/>
      <c r="E6" s="183"/>
      <c r="F6" s="183"/>
      <c r="G6" s="183"/>
      <c r="H6" s="184"/>
      <c r="I6" s="185" t="s">
        <v>3</v>
      </c>
      <c r="J6" s="185"/>
      <c r="K6" s="185"/>
      <c r="L6" s="185"/>
      <c r="M6" s="185"/>
      <c r="N6" s="185"/>
      <c r="O6" s="185"/>
      <c r="P6" s="185"/>
      <c r="Q6" s="185"/>
      <c r="R6" s="186"/>
    </row>
    <row r="7" spans="2:21" ht="60" customHeight="1" thickBot="1">
      <c r="B7" s="8"/>
      <c r="C7" s="9" t="s">
        <v>4</v>
      </c>
      <c r="D7" s="10" t="s">
        <v>5</v>
      </c>
      <c r="E7" s="11" t="s">
        <v>103</v>
      </c>
      <c r="F7" s="12" t="s">
        <v>7</v>
      </c>
      <c r="G7" s="12" t="s">
        <v>8</v>
      </c>
      <c r="H7" s="13" t="s">
        <v>9</v>
      </c>
      <c r="I7" s="10" t="s">
        <v>10</v>
      </c>
      <c r="J7" s="10" t="s">
        <v>75</v>
      </c>
      <c r="K7" s="12" t="s">
        <v>11</v>
      </c>
      <c r="L7" s="12" t="s">
        <v>76</v>
      </c>
      <c r="M7" s="12" t="s">
        <v>12</v>
      </c>
      <c r="N7" s="12" t="s">
        <v>13</v>
      </c>
      <c r="O7" s="12" t="s">
        <v>14</v>
      </c>
      <c r="P7" s="12" t="s">
        <v>15</v>
      </c>
      <c r="Q7" s="13" t="s">
        <v>16</v>
      </c>
      <c r="R7" s="13" t="s">
        <v>73</v>
      </c>
    </row>
    <row r="8" spans="2:21">
      <c r="B8" s="42" t="s">
        <v>17</v>
      </c>
      <c r="C8" s="43"/>
      <c r="D8" s="44"/>
      <c r="E8" s="44"/>
      <c r="F8" s="44"/>
      <c r="G8" s="44"/>
      <c r="H8" s="45"/>
      <c r="I8" s="44"/>
      <c r="J8" s="44"/>
      <c r="K8" s="44"/>
      <c r="L8" s="44"/>
      <c r="M8" s="44"/>
      <c r="N8" s="44"/>
      <c r="O8" s="44"/>
      <c r="P8" s="44"/>
      <c r="Q8" s="44"/>
      <c r="R8" s="45"/>
      <c r="T8" s="17"/>
      <c r="U8" s="17"/>
    </row>
    <row r="9" spans="2:21">
      <c r="B9" s="46" t="s">
        <v>88</v>
      </c>
      <c r="C9" s="47">
        <v>5519</v>
      </c>
      <c r="D9" s="48">
        <v>1334</v>
      </c>
      <c r="E9" s="48">
        <v>2077</v>
      </c>
      <c r="F9" s="48">
        <v>6935</v>
      </c>
      <c r="G9" s="48">
        <v>13618</v>
      </c>
      <c r="H9" s="49">
        <v>4461430</v>
      </c>
      <c r="I9" s="50">
        <v>4944</v>
      </c>
      <c r="J9" s="50">
        <v>3470</v>
      </c>
      <c r="K9" s="48">
        <v>14174</v>
      </c>
      <c r="L9" s="48">
        <v>6342</v>
      </c>
      <c r="M9" s="51">
        <v>2.8669090000000002</v>
      </c>
      <c r="N9" s="52">
        <v>0.29032799999999997</v>
      </c>
      <c r="O9" s="51">
        <v>93.059550000000002</v>
      </c>
      <c r="P9" s="52">
        <v>7.9264000000000001E-2</v>
      </c>
      <c r="Q9" s="52">
        <v>0.13068099999999999</v>
      </c>
      <c r="R9" s="144">
        <f>((I9+J9)+(K9+L9))/2*(O9*K9)</f>
        <v>19079711982.490498</v>
      </c>
    </row>
    <row r="10" spans="2:21">
      <c r="B10" s="46" t="s">
        <v>89</v>
      </c>
      <c r="C10" s="47">
        <v>4647</v>
      </c>
      <c r="D10" s="48">
        <v>1359</v>
      </c>
      <c r="E10" s="48">
        <v>1740</v>
      </c>
      <c r="F10" s="48">
        <v>6937</v>
      </c>
      <c r="G10" s="48">
        <v>13116</v>
      </c>
      <c r="H10" s="49">
        <v>4510711</v>
      </c>
      <c r="I10" s="50">
        <v>5314</v>
      </c>
      <c r="J10" s="50">
        <v>3561</v>
      </c>
      <c r="K10" s="48">
        <v>15715</v>
      </c>
      <c r="L10" s="48">
        <v>6876</v>
      </c>
      <c r="M10" s="51">
        <v>2.9572829999999999</v>
      </c>
      <c r="N10" s="52">
        <v>0.28031899999999998</v>
      </c>
      <c r="O10" s="51">
        <v>65.727459999999994</v>
      </c>
      <c r="P10" s="52">
        <v>3.7990999999999997E-2</v>
      </c>
      <c r="Q10" s="52">
        <v>7.0066000000000003E-2</v>
      </c>
      <c r="R10" s="144">
        <f t="shared" ref="R10:R12" si="0">((I10+J10)+(K10+L10))/2*(O10*K10)</f>
        <v>16250726364.3487</v>
      </c>
    </row>
    <row r="11" spans="2:21">
      <c r="B11" s="53" t="s">
        <v>90</v>
      </c>
      <c r="C11" s="47">
        <v>4814</v>
      </c>
      <c r="D11" s="48">
        <v>1347</v>
      </c>
      <c r="E11" s="48">
        <v>1771</v>
      </c>
      <c r="F11" s="48">
        <v>6590</v>
      </c>
      <c r="G11" s="48">
        <v>12422</v>
      </c>
      <c r="H11" s="49">
        <v>3797326</v>
      </c>
      <c r="I11" s="50">
        <v>4980</v>
      </c>
      <c r="J11" s="50">
        <v>2728</v>
      </c>
      <c r="K11" s="48">
        <v>15165</v>
      </c>
      <c r="L11" s="98">
        <v>4520</v>
      </c>
      <c r="M11" s="54">
        <v>3.0451809999999999</v>
      </c>
      <c r="N11" s="52">
        <v>0.266125</v>
      </c>
      <c r="O11" s="54">
        <v>65.366829999999993</v>
      </c>
      <c r="P11" s="52">
        <v>2.4510000000000001E-2</v>
      </c>
      <c r="Q11" s="52">
        <v>6.4809000000000005E-2</v>
      </c>
      <c r="R11" s="144">
        <f t="shared" si="0"/>
        <v>13577175776.295673</v>
      </c>
    </row>
    <row r="12" spans="2:21" ht="15.75" thickBot="1">
      <c r="B12" s="53" t="s">
        <v>91</v>
      </c>
      <c r="C12" s="47">
        <v>4561</v>
      </c>
      <c r="D12" s="48">
        <v>1265</v>
      </c>
      <c r="E12" s="48">
        <v>1825</v>
      </c>
      <c r="F12" s="48">
        <v>7378</v>
      </c>
      <c r="G12" s="48">
        <v>16855</v>
      </c>
      <c r="H12" s="49">
        <v>4174643</v>
      </c>
      <c r="I12" s="50">
        <v>6069</v>
      </c>
      <c r="J12" s="50">
        <v>3476</v>
      </c>
      <c r="K12" s="48">
        <v>18656</v>
      </c>
      <c r="L12" s="98">
        <v>5679</v>
      </c>
      <c r="M12" s="55">
        <v>3.0739830000000001</v>
      </c>
      <c r="N12" s="52">
        <v>0.314913</v>
      </c>
      <c r="O12" s="55">
        <v>73.192430000000002</v>
      </c>
      <c r="P12" s="52">
        <v>2.9311E-2</v>
      </c>
      <c r="Q12" s="52">
        <v>7.2051000000000004E-2</v>
      </c>
      <c r="R12" s="144">
        <f t="shared" si="0"/>
        <v>23131196880.915203</v>
      </c>
    </row>
    <row r="13" spans="2:21">
      <c r="B13" s="70" t="s">
        <v>27</v>
      </c>
      <c r="C13" s="57"/>
      <c r="D13" s="58"/>
      <c r="E13" s="58"/>
      <c r="F13" s="58"/>
      <c r="G13" s="58"/>
      <c r="H13" s="59"/>
      <c r="I13" s="58"/>
      <c r="J13" s="58"/>
      <c r="K13" s="58"/>
      <c r="L13" s="58"/>
      <c r="M13" s="58"/>
      <c r="N13" s="58"/>
      <c r="O13" s="58"/>
      <c r="P13" s="58"/>
      <c r="Q13" s="58"/>
      <c r="R13" s="59"/>
      <c r="T13" s="17"/>
      <c r="U13" s="17"/>
    </row>
    <row r="14" spans="2:21">
      <c r="B14" s="46" t="str">
        <f>$B$9</f>
        <v>28.Dec - 03.Jan</v>
      </c>
      <c r="C14" s="60">
        <v>202</v>
      </c>
      <c r="D14" s="61">
        <v>138</v>
      </c>
      <c r="E14" s="61">
        <v>147</v>
      </c>
      <c r="F14" s="61">
        <v>867</v>
      </c>
      <c r="G14" s="61">
        <v>3584</v>
      </c>
      <c r="H14" s="63">
        <v>647588</v>
      </c>
      <c r="I14" s="71">
        <v>1364</v>
      </c>
      <c r="J14" s="71">
        <v>1184</v>
      </c>
      <c r="K14" s="62">
        <v>4021</v>
      </c>
      <c r="L14" s="62">
        <v>2937</v>
      </c>
      <c r="M14" s="51">
        <v>2.947947214</v>
      </c>
      <c r="N14" s="52">
        <v>0.173890872</v>
      </c>
      <c r="O14" s="51">
        <v>29.182790350000001</v>
      </c>
      <c r="P14" s="52">
        <v>4.5563549999999998E-3</v>
      </c>
      <c r="Q14" s="52">
        <v>2.5659471999999999E-2</v>
      </c>
      <c r="R14" s="144">
        <f>((I14+J14)+(K14+L14))/2*(O14*K14)</f>
        <v>557736031.98740458</v>
      </c>
    </row>
    <row r="15" spans="2:21">
      <c r="B15" s="46" t="str">
        <f>$B$10</f>
        <v>21.Dec - 27.Dec</v>
      </c>
      <c r="C15" s="60">
        <v>527</v>
      </c>
      <c r="D15" s="61">
        <v>303</v>
      </c>
      <c r="E15" s="61">
        <v>296</v>
      </c>
      <c r="F15" s="61">
        <v>1156</v>
      </c>
      <c r="G15" s="61">
        <v>5627</v>
      </c>
      <c r="H15" s="63">
        <v>861727</v>
      </c>
      <c r="I15" s="71">
        <v>1970</v>
      </c>
      <c r="J15" s="71">
        <v>1745</v>
      </c>
      <c r="K15" s="62">
        <v>5957</v>
      </c>
      <c r="L15" s="62">
        <v>4141</v>
      </c>
      <c r="M15" s="51">
        <v>3.0238578679999999</v>
      </c>
      <c r="N15" s="52">
        <v>0.21242182400000001</v>
      </c>
      <c r="O15" s="51">
        <v>39.132784960000002</v>
      </c>
      <c r="P15" s="52">
        <v>1.006229E-2</v>
      </c>
      <c r="Q15" s="52">
        <v>2.5235585000000001E-2</v>
      </c>
      <c r="R15" s="144">
        <f>((I15+J15)+(K15+L15))/2*(O15*K15)</f>
        <v>1610001841.0464118</v>
      </c>
    </row>
    <row r="16" spans="2:21">
      <c r="B16" s="46" t="str">
        <f>$B$11</f>
        <v>14.Dec - 20.Dec</v>
      </c>
      <c r="C16" s="60">
        <v>495</v>
      </c>
      <c r="D16" s="61">
        <v>184</v>
      </c>
      <c r="E16" s="61">
        <v>147</v>
      </c>
      <c r="F16" s="61">
        <v>656</v>
      </c>
      <c r="G16" s="61">
        <v>1675</v>
      </c>
      <c r="H16" s="63">
        <v>679294</v>
      </c>
      <c r="I16" s="64">
        <v>744</v>
      </c>
      <c r="J16" s="64">
        <v>609</v>
      </c>
      <c r="K16" s="61">
        <v>2169</v>
      </c>
      <c r="L16" s="100">
        <v>1173</v>
      </c>
      <c r="M16" s="54">
        <v>2.9153225809999999</v>
      </c>
      <c r="N16" s="52">
        <v>9.6086788000000006E-2</v>
      </c>
      <c r="O16" s="54">
        <v>45.645458740000002</v>
      </c>
      <c r="P16" s="52">
        <v>1.250539E-2</v>
      </c>
      <c r="Q16" s="52">
        <v>4.4846917E-2</v>
      </c>
      <c r="R16" s="144">
        <f>((I16+J16)+(K16+L16))/2*(O16*K16)</f>
        <v>232414237.51657337</v>
      </c>
    </row>
    <row r="17" spans="2:18" ht="15.75" thickBot="1">
      <c r="B17" s="46" t="str">
        <f>$B$12</f>
        <v>07.Dec - 13.Dec</v>
      </c>
      <c r="C17" s="60">
        <v>491</v>
      </c>
      <c r="D17" s="61">
        <v>183</v>
      </c>
      <c r="E17" s="61">
        <v>136</v>
      </c>
      <c r="F17" s="61">
        <v>671</v>
      </c>
      <c r="G17" s="61">
        <v>2457</v>
      </c>
      <c r="H17" s="63">
        <v>661940</v>
      </c>
      <c r="I17" s="66">
        <v>849</v>
      </c>
      <c r="J17" s="66">
        <v>688</v>
      </c>
      <c r="K17" s="67">
        <v>2542</v>
      </c>
      <c r="L17" s="67">
        <v>1455</v>
      </c>
      <c r="M17" s="55">
        <v>2.9941107179999999</v>
      </c>
      <c r="N17" s="52">
        <v>0.121511378</v>
      </c>
      <c r="O17" s="55">
        <v>39.103461840000001</v>
      </c>
      <c r="P17" s="52">
        <v>9.4696969999999991E-3</v>
      </c>
      <c r="Q17" s="52">
        <v>2.2348485000000001E-2</v>
      </c>
      <c r="R17" s="144">
        <f>((I17+J17)+(K17+L17))/2*(O17*K17)</f>
        <v>275042566.99247378</v>
      </c>
    </row>
    <row r="18" spans="2:18">
      <c r="B18" s="70" t="s">
        <v>19</v>
      </c>
      <c r="C18" s="57"/>
      <c r="D18" s="58"/>
      <c r="E18" s="58"/>
      <c r="F18" s="58"/>
      <c r="G18" s="58"/>
      <c r="H18" s="59"/>
      <c r="I18" s="58"/>
      <c r="J18" s="58"/>
      <c r="K18" s="58"/>
      <c r="L18" s="58"/>
      <c r="M18" s="58"/>
      <c r="N18" s="58"/>
      <c r="O18" s="58"/>
      <c r="P18" s="58"/>
      <c r="Q18" s="58"/>
      <c r="R18" s="59"/>
    </row>
    <row r="19" spans="2:18">
      <c r="B19" s="46" t="str">
        <f>$B$9</f>
        <v>28.Dec - 03.Jan</v>
      </c>
      <c r="C19" s="60">
        <v>151</v>
      </c>
      <c r="D19" s="61">
        <v>64</v>
      </c>
      <c r="E19" s="61">
        <v>62</v>
      </c>
      <c r="F19" s="61">
        <v>388</v>
      </c>
      <c r="G19" s="61">
        <v>2311</v>
      </c>
      <c r="H19" s="49">
        <v>353726</v>
      </c>
      <c r="I19" s="64">
        <v>794</v>
      </c>
      <c r="J19" s="64">
        <v>131</v>
      </c>
      <c r="K19" s="61">
        <v>2483</v>
      </c>
      <c r="L19" s="61">
        <v>100</v>
      </c>
      <c r="M19" s="51">
        <v>3.1272040300000001</v>
      </c>
      <c r="N19" s="52">
        <v>0.51760104299999998</v>
      </c>
      <c r="O19" s="51">
        <v>60.108336690000002</v>
      </c>
      <c r="P19" s="52">
        <v>8.7857848000000002E-2</v>
      </c>
      <c r="Q19" s="52">
        <v>8.9832181999999997E-2</v>
      </c>
      <c r="R19" s="144">
        <f>((I19+J19)+(K19+L19))/2*(O19*K19)</f>
        <v>261782746.00222757</v>
      </c>
    </row>
    <row r="20" spans="2:18">
      <c r="B20" s="46" t="str">
        <f>$B$10</f>
        <v>21.Dec - 27.Dec</v>
      </c>
      <c r="C20" s="60">
        <v>92</v>
      </c>
      <c r="D20" s="61">
        <v>37</v>
      </c>
      <c r="E20" s="61">
        <v>27</v>
      </c>
      <c r="F20" s="61">
        <v>280</v>
      </c>
      <c r="G20" s="61">
        <v>1683</v>
      </c>
      <c r="H20" s="49">
        <v>245069</v>
      </c>
      <c r="I20" s="64">
        <v>830</v>
      </c>
      <c r="J20" s="64">
        <v>112</v>
      </c>
      <c r="K20" s="61">
        <v>2647</v>
      </c>
      <c r="L20" s="61">
        <v>76</v>
      </c>
      <c r="M20" s="51">
        <v>3.189156627</v>
      </c>
      <c r="N20" s="52">
        <v>0.50951504000000003</v>
      </c>
      <c r="O20" s="51">
        <v>27.171137139999999</v>
      </c>
      <c r="P20" s="52">
        <v>1.2039401999999999E-2</v>
      </c>
      <c r="Q20" s="52">
        <v>1.6782195999999999E-2</v>
      </c>
      <c r="R20" s="144">
        <f>((I20+J20)+(K20+L20))/2*(O20*K20)</f>
        <v>131797065.01755534</v>
      </c>
    </row>
    <row r="21" spans="2:18">
      <c r="B21" s="46" t="str">
        <f>$B$11</f>
        <v>14.Dec - 20.Dec</v>
      </c>
      <c r="C21" s="60">
        <v>140</v>
      </c>
      <c r="D21" s="61">
        <v>59</v>
      </c>
      <c r="E21" s="61">
        <v>47</v>
      </c>
      <c r="F21" s="61">
        <v>435</v>
      </c>
      <c r="G21" s="61">
        <v>3275</v>
      </c>
      <c r="H21" s="49">
        <v>261403</v>
      </c>
      <c r="I21" s="64">
        <v>932</v>
      </c>
      <c r="J21" s="64">
        <v>174</v>
      </c>
      <c r="K21" s="61">
        <v>2741</v>
      </c>
      <c r="L21" s="100">
        <v>109</v>
      </c>
      <c r="M21" s="54">
        <v>2.9409871239999998</v>
      </c>
      <c r="N21" s="52">
        <v>0.52924474700000002</v>
      </c>
      <c r="O21" s="54">
        <v>27.23786939</v>
      </c>
      <c r="P21" s="52">
        <v>5.3304900000000002E-3</v>
      </c>
      <c r="Q21" s="52">
        <v>1.6346836999999999E-2</v>
      </c>
      <c r="R21" s="144">
        <f>((I21+J21)+(K21+L21))/2*(O21*K21)</f>
        <v>147675501.99602422</v>
      </c>
    </row>
    <row r="22" spans="2:18" ht="16.5" customHeight="1" thickBot="1">
      <c r="B22" s="46" t="str">
        <f>$B$12</f>
        <v>07.Dec - 13.Dec</v>
      </c>
      <c r="C22" s="60">
        <v>121</v>
      </c>
      <c r="D22" s="61">
        <v>38</v>
      </c>
      <c r="E22" s="61">
        <v>23</v>
      </c>
      <c r="F22" s="61">
        <v>405</v>
      </c>
      <c r="G22" s="61">
        <v>3472</v>
      </c>
      <c r="H22" s="49">
        <v>238147</v>
      </c>
      <c r="I22" s="66">
        <v>875</v>
      </c>
      <c r="J22" s="66">
        <v>147</v>
      </c>
      <c r="K22" s="67">
        <v>2756</v>
      </c>
      <c r="L22" s="67">
        <v>107</v>
      </c>
      <c r="M22" s="55">
        <v>3.149714286</v>
      </c>
      <c r="N22" s="52">
        <v>0.52052349799999997</v>
      </c>
      <c r="O22" s="55">
        <v>26.674165460000001</v>
      </c>
      <c r="P22" s="52">
        <v>2.0491802999999999E-2</v>
      </c>
      <c r="Q22" s="52">
        <v>3.5519125999999998E-2</v>
      </c>
      <c r="R22" s="144">
        <f>((I22+J22)+(K22+L22))/2*(O22*K22)</f>
        <v>142800945.01507381</v>
      </c>
    </row>
    <row r="23" spans="2:18">
      <c r="B23" s="70" t="s">
        <v>20</v>
      </c>
      <c r="C23" s="57"/>
      <c r="D23" s="58"/>
      <c r="E23" s="58"/>
      <c r="F23" s="58"/>
      <c r="G23" s="58"/>
      <c r="H23" s="59"/>
      <c r="I23" s="58"/>
      <c r="J23" s="58"/>
      <c r="K23" s="58"/>
      <c r="L23" s="58"/>
      <c r="M23" s="58"/>
      <c r="N23" s="58"/>
      <c r="O23" s="58"/>
      <c r="P23" s="58"/>
      <c r="Q23" s="58"/>
      <c r="R23" s="59"/>
    </row>
    <row r="24" spans="2:18">
      <c r="B24" s="46" t="str">
        <f>$B$9</f>
        <v>28.Dec - 03.Jan</v>
      </c>
      <c r="C24" s="60">
        <v>183</v>
      </c>
      <c r="D24" s="61">
        <v>96</v>
      </c>
      <c r="E24" s="61">
        <v>46</v>
      </c>
      <c r="F24" s="61">
        <v>800</v>
      </c>
      <c r="G24" s="61">
        <v>1534</v>
      </c>
      <c r="H24" s="49">
        <v>195643</v>
      </c>
      <c r="I24" s="64">
        <v>275</v>
      </c>
      <c r="J24" s="64">
        <v>131</v>
      </c>
      <c r="K24" s="61">
        <v>787</v>
      </c>
      <c r="L24" s="61">
        <v>123</v>
      </c>
      <c r="M24" s="51">
        <v>2.8618181819999999</v>
      </c>
      <c r="N24" s="52">
        <v>0.32699167699999998</v>
      </c>
      <c r="O24" s="51">
        <v>66.168996190000001</v>
      </c>
      <c r="P24" s="52">
        <v>4.2483659999999999E-2</v>
      </c>
      <c r="Q24" s="52">
        <v>7.7342047999999997E-2</v>
      </c>
      <c r="R24" s="144">
        <f>((I24+J24)+(K24+L24))/2*(O24*K24)</f>
        <v>34265350.001006745</v>
      </c>
    </row>
    <row r="25" spans="2:18">
      <c r="B25" s="46" t="str">
        <f>$B$10</f>
        <v>21.Dec - 27.Dec</v>
      </c>
      <c r="C25" s="60">
        <v>170</v>
      </c>
      <c r="D25" s="61">
        <v>62</v>
      </c>
      <c r="E25" s="61">
        <v>66</v>
      </c>
      <c r="F25" s="61">
        <v>456</v>
      </c>
      <c r="G25" s="61">
        <v>705</v>
      </c>
      <c r="H25" s="49">
        <v>241994</v>
      </c>
      <c r="I25" s="64">
        <v>294</v>
      </c>
      <c r="J25" s="64">
        <v>155</v>
      </c>
      <c r="K25" s="61">
        <v>801</v>
      </c>
      <c r="L25" s="61">
        <v>185</v>
      </c>
      <c r="M25" s="51">
        <v>2.7244897959999999</v>
      </c>
      <c r="N25" s="52">
        <v>0.29969419000000003</v>
      </c>
      <c r="O25" s="51">
        <v>76.204744070000004</v>
      </c>
      <c r="P25" s="52">
        <v>3.8947368000000003E-2</v>
      </c>
      <c r="Q25" s="52">
        <v>8.6315789000000004E-2</v>
      </c>
      <c r="R25" s="144">
        <f>((I25+J25)+(K25+L25))/2*(O25*K25)</f>
        <v>43796200.000050224</v>
      </c>
    </row>
    <row r="26" spans="2:18" ht="16.5" customHeight="1">
      <c r="B26" s="46" t="str">
        <f>$B$11</f>
        <v>14.Dec - 20.Dec</v>
      </c>
      <c r="C26" s="60">
        <v>409</v>
      </c>
      <c r="D26" s="61">
        <v>100</v>
      </c>
      <c r="E26" s="61">
        <v>175</v>
      </c>
      <c r="F26" s="61">
        <v>501</v>
      </c>
      <c r="G26" s="61">
        <v>928</v>
      </c>
      <c r="H26" s="49">
        <v>183810</v>
      </c>
      <c r="I26" s="64">
        <v>319</v>
      </c>
      <c r="J26" s="64">
        <v>181</v>
      </c>
      <c r="K26" s="61">
        <v>951</v>
      </c>
      <c r="L26" s="100">
        <v>272</v>
      </c>
      <c r="M26" s="54">
        <v>2.9811912230000002</v>
      </c>
      <c r="N26" s="52">
        <v>0.32352941200000002</v>
      </c>
      <c r="O26" s="54">
        <v>43.018927439999999</v>
      </c>
      <c r="P26" s="52">
        <v>2.5471698000000001E-2</v>
      </c>
      <c r="Q26" s="52">
        <v>5.3773584999999999E-2</v>
      </c>
      <c r="R26" s="144">
        <f>((I26+J26)+(K26+L26))/2*(O26*K26)</f>
        <v>35244826.496071555</v>
      </c>
    </row>
    <row r="27" spans="2:18" ht="15.75" thickBot="1">
      <c r="B27" s="46" t="str">
        <f>$B$12</f>
        <v>07.Dec - 13.Dec</v>
      </c>
      <c r="C27" s="60">
        <v>275</v>
      </c>
      <c r="D27" s="61">
        <v>94</v>
      </c>
      <c r="E27" s="61">
        <v>141</v>
      </c>
      <c r="F27" s="61">
        <v>583</v>
      </c>
      <c r="G27" s="61">
        <v>1554</v>
      </c>
      <c r="H27" s="49">
        <v>234683</v>
      </c>
      <c r="I27" s="64">
        <v>673</v>
      </c>
      <c r="J27" s="64">
        <v>376</v>
      </c>
      <c r="K27" s="61">
        <v>2187</v>
      </c>
      <c r="L27" s="100">
        <v>413</v>
      </c>
      <c r="M27" s="55">
        <v>3.2496285290000002</v>
      </c>
      <c r="N27" s="52">
        <v>0.51374045800000001</v>
      </c>
      <c r="O27" s="55">
        <v>36.101966160000003</v>
      </c>
      <c r="P27" s="52">
        <v>1.6941973999999999E-2</v>
      </c>
      <c r="Q27" s="52">
        <v>3.4731046000000002E-2</v>
      </c>
      <c r="R27" s="144">
        <f>((I27+J27)+(K27+L27))/2*(O27*K27)</f>
        <v>144053397.48525804</v>
      </c>
    </row>
    <row r="28" spans="2:18">
      <c r="B28" s="70" t="s">
        <v>26</v>
      </c>
      <c r="C28" s="57"/>
      <c r="D28" s="58"/>
      <c r="E28" s="58"/>
      <c r="F28" s="58"/>
      <c r="G28" s="58"/>
      <c r="H28" s="59"/>
      <c r="I28" s="58"/>
      <c r="J28" s="58"/>
      <c r="K28" s="58"/>
      <c r="L28" s="58"/>
      <c r="M28" s="58"/>
      <c r="N28" s="58"/>
      <c r="O28" s="58"/>
      <c r="P28" s="58"/>
      <c r="Q28" s="58"/>
      <c r="R28" s="59"/>
    </row>
    <row r="29" spans="2:18">
      <c r="B29" s="46" t="str">
        <f>$B$9</f>
        <v>28.Dec - 03.Jan</v>
      </c>
      <c r="C29" s="60">
        <v>878</v>
      </c>
      <c r="D29" s="61">
        <v>258</v>
      </c>
      <c r="E29" s="61">
        <v>544</v>
      </c>
      <c r="F29" s="61">
        <v>937</v>
      </c>
      <c r="G29" s="61">
        <v>1595</v>
      </c>
      <c r="H29" s="49">
        <v>563104</v>
      </c>
      <c r="I29" s="64">
        <v>746</v>
      </c>
      <c r="J29" s="64">
        <v>502</v>
      </c>
      <c r="K29" s="61">
        <v>2473</v>
      </c>
      <c r="L29" s="61">
        <v>808</v>
      </c>
      <c r="M29" s="51">
        <v>3.3150134050000002</v>
      </c>
      <c r="N29" s="52">
        <v>0.39057591600000002</v>
      </c>
      <c r="O29" s="51">
        <v>50.012131009999997</v>
      </c>
      <c r="P29" s="52">
        <v>1.1111111E-2</v>
      </c>
      <c r="Q29" s="52">
        <v>3.4482759000000002E-2</v>
      </c>
      <c r="R29" s="144">
        <f t="shared" ref="R29:R32" si="1">((I29+J29)+(K29+L29))/2*(O29*K29)</f>
        <v>280073359.97221458</v>
      </c>
    </row>
    <row r="30" spans="2:18">
      <c r="B30" s="46" t="str">
        <f>$B$10</f>
        <v>21.Dec - 27.Dec</v>
      </c>
      <c r="C30" s="60">
        <v>994</v>
      </c>
      <c r="D30" s="61">
        <v>244</v>
      </c>
      <c r="E30" s="61">
        <v>572</v>
      </c>
      <c r="F30" s="61">
        <v>1303</v>
      </c>
      <c r="G30" s="61">
        <v>1481</v>
      </c>
      <c r="H30" s="49">
        <v>683381</v>
      </c>
      <c r="I30" s="64">
        <v>890</v>
      </c>
      <c r="J30" s="64">
        <v>553</v>
      </c>
      <c r="K30" s="61">
        <v>2921</v>
      </c>
      <c r="L30" s="61">
        <v>880</v>
      </c>
      <c r="M30" s="51">
        <v>3.282022472</v>
      </c>
      <c r="N30" s="52">
        <v>0.39000876400000001</v>
      </c>
      <c r="O30" s="51">
        <v>53.896268399999997</v>
      </c>
      <c r="P30" s="52">
        <v>7.6335880000000002E-3</v>
      </c>
      <c r="Q30" s="52">
        <v>1.2612015000000001E-2</v>
      </c>
      <c r="R30" s="144">
        <f t="shared" si="1"/>
        <v>412784081.99056083</v>
      </c>
    </row>
    <row r="31" spans="2:18">
      <c r="B31" s="46" t="str">
        <f>$B$11</f>
        <v>14.Dec - 20.Dec</v>
      </c>
      <c r="C31" s="60">
        <v>1205</v>
      </c>
      <c r="D31" s="61">
        <v>369</v>
      </c>
      <c r="E31" s="61">
        <v>757</v>
      </c>
      <c r="F31" s="61">
        <v>1326</v>
      </c>
      <c r="G31" s="61">
        <v>1898</v>
      </c>
      <c r="H31" s="49">
        <v>604846</v>
      </c>
      <c r="I31" s="64">
        <v>1171</v>
      </c>
      <c r="J31" s="64">
        <v>656</v>
      </c>
      <c r="K31" s="61">
        <v>4167</v>
      </c>
      <c r="L31" s="100">
        <v>1046</v>
      </c>
      <c r="M31" s="54">
        <v>3.558497011</v>
      </c>
      <c r="N31" s="52">
        <v>0.45777951500000003</v>
      </c>
      <c r="O31" s="54">
        <v>46.600431970000002</v>
      </c>
      <c r="P31" s="52">
        <v>3.9878020000000004E-3</v>
      </c>
      <c r="Q31" s="52">
        <v>1.4309172E-2</v>
      </c>
      <c r="R31" s="144">
        <f t="shared" si="1"/>
        <v>683527680.06684482</v>
      </c>
    </row>
    <row r="32" spans="2:18" ht="15.75" thickBot="1">
      <c r="B32" s="46" t="str">
        <f>$B$12</f>
        <v>07.Dec - 13.Dec</v>
      </c>
      <c r="C32" s="60">
        <v>1258</v>
      </c>
      <c r="D32" s="61">
        <v>381</v>
      </c>
      <c r="E32" s="61">
        <v>799</v>
      </c>
      <c r="F32" s="61">
        <v>1434</v>
      </c>
      <c r="G32" s="61">
        <v>2398</v>
      </c>
      <c r="H32" s="49">
        <v>618601</v>
      </c>
      <c r="I32" s="64">
        <v>1003</v>
      </c>
      <c r="J32" s="64">
        <v>730</v>
      </c>
      <c r="K32" s="61">
        <v>3439</v>
      </c>
      <c r="L32" s="100">
        <v>1183</v>
      </c>
      <c r="M32" s="55">
        <v>3.4287138580000001</v>
      </c>
      <c r="N32" s="52">
        <v>0.43028743000000003</v>
      </c>
      <c r="O32" s="55">
        <v>53.440825820000001</v>
      </c>
      <c r="P32" s="52">
        <v>2.8514399999999998E-3</v>
      </c>
      <c r="Q32" s="52">
        <v>9.9800400000000008E-3</v>
      </c>
      <c r="R32" s="144">
        <f t="shared" si="1"/>
        <v>583970482.48404896</v>
      </c>
    </row>
    <row r="33" spans="2:18">
      <c r="B33" s="70" t="s">
        <v>18</v>
      </c>
      <c r="C33" s="57"/>
      <c r="D33" s="58"/>
      <c r="E33" s="58"/>
      <c r="F33" s="58"/>
      <c r="G33" s="58"/>
      <c r="H33" s="59"/>
      <c r="I33" s="58"/>
      <c r="J33" s="58"/>
      <c r="K33" s="58"/>
      <c r="L33" s="58"/>
      <c r="M33" s="58"/>
      <c r="N33" s="58"/>
      <c r="O33" s="58"/>
      <c r="P33" s="58"/>
      <c r="Q33" s="58"/>
      <c r="R33" s="59"/>
    </row>
    <row r="34" spans="2:18">
      <c r="B34" s="46" t="str">
        <f>$B$9</f>
        <v>28.Dec - 03.Jan</v>
      </c>
      <c r="C34" s="60">
        <v>1865</v>
      </c>
      <c r="D34" s="61">
        <v>287</v>
      </c>
      <c r="E34" s="61">
        <v>564</v>
      </c>
      <c r="F34" s="61">
        <v>1612</v>
      </c>
      <c r="G34" s="61">
        <v>1579</v>
      </c>
      <c r="H34" s="72">
        <v>871327</v>
      </c>
      <c r="I34" s="64">
        <v>706</v>
      </c>
      <c r="J34" s="64">
        <v>618</v>
      </c>
      <c r="K34" s="61">
        <v>1830</v>
      </c>
      <c r="L34" s="61">
        <v>954</v>
      </c>
      <c r="M34" s="51">
        <v>2.5920679889999998</v>
      </c>
      <c r="N34" s="52">
        <v>0.49929278599999999</v>
      </c>
      <c r="O34" s="51">
        <v>205.17049180000001</v>
      </c>
      <c r="P34" s="52">
        <v>0.140698772</v>
      </c>
      <c r="Q34" s="52">
        <v>0.23260938</v>
      </c>
      <c r="R34" s="144">
        <f t="shared" ref="R34:R37" si="2">((I34+J34)+(K34+L34))/2*(O34*K34)</f>
        <v>771198947.98767602</v>
      </c>
    </row>
    <row r="35" spans="2:18">
      <c r="B35" s="46" t="str">
        <f>$B$10</f>
        <v>21.Dec - 27.Dec</v>
      </c>
      <c r="C35" s="60">
        <v>909</v>
      </c>
      <c r="D35" s="61">
        <v>200</v>
      </c>
      <c r="E35" s="61">
        <v>278</v>
      </c>
      <c r="F35" s="61">
        <v>1378</v>
      </c>
      <c r="G35" s="61">
        <v>1153</v>
      </c>
      <c r="H35" s="72">
        <v>544179</v>
      </c>
      <c r="I35" s="64">
        <v>442</v>
      </c>
      <c r="J35" s="64">
        <v>307</v>
      </c>
      <c r="K35" s="61">
        <v>1212</v>
      </c>
      <c r="L35" s="61">
        <v>455</v>
      </c>
      <c r="M35" s="51">
        <v>2.742081448</v>
      </c>
      <c r="N35" s="52">
        <v>0.41269841299999999</v>
      </c>
      <c r="O35" s="51">
        <v>119.6691419</v>
      </c>
      <c r="P35" s="52">
        <v>0.10176236499999999</v>
      </c>
      <c r="Q35" s="52">
        <v>0.16088686799999999</v>
      </c>
      <c r="R35" s="144">
        <f t="shared" si="2"/>
        <v>175207111.97922239</v>
      </c>
    </row>
    <row r="36" spans="2:18">
      <c r="B36" s="46" t="str">
        <f>$B$11</f>
        <v>14.Dec - 20.Dec</v>
      </c>
      <c r="C36" s="60">
        <v>572</v>
      </c>
      <c r="D36" s="61">
        <v>135</v>
      </c>
      <c r="E36" s="61">
        <v>123</v>
      </c>
      <c r="F36" s="61">
        <v>801</v>
      </c>
      <c r="G36" s="61">
        <v>844</v>
      </c>
      <c r="H36" s="72">
        <v>367871</v>
      </c>
      <c r="I36" s="64">
        <v>500</v>
      </c>
      <c r="J36" s="64">
        <v>109</v>
      </c>
      <c r="K36" s="61">
        <v>1606</v>
      </c>
      <c r="L36" s="61">
        <v>138</v>
      </c>
      <c r="M36" s="51">
        <v>3.2120000000000002</v>
      </c>
      <c r="N36" s="52">
        <v>0.46425255300000001</v>
      </c>
      <c r="O36" s="51">
        <v>92.766500620000002</v>
      </c>
      <c r="P36" s="52">
        <v>2.6132404000000001E-2</v>
      </c>
      <c r="Q36" s="52">
        <v>3.8908246E-2</v>
      </c>
      <c r="R36" s="144">
        <f t="shared" si="2"/>
        <v>175278499.49496457</v>
      </c>
    </row>
    <row r="37" spans="2:18" ht="15.75" thickBot="1">
      <c r="B37" s="46" t="str">
        <f>$B$12</f>
        <v>07.Dec - 13.Dec</v>
      </c>
      <c r="C37" s="60">
        <v>471</v>
      </c>
      <c r="D37" s="61">
        <v>102</v>
      </c>
      <c r="E37" s="61">
        <v>58</v>
      </c>
      <c r="F37" s="61">
        <v>805</v>
      </c>
      <c r="G37" s="61">
        <v>892</v>
      </c>
      <c r="H37" s="72">
        <v>571640</v>
      </c>
      <c r="I37" s="64">
        <v>606</v>
      </c>
      <c r="J37" s="64">
        <v>109</v>
      </c>
      <c r="K37" s="61">
        <v>1999</v>
      </c>
      <c r="L37" s="100">
        <v>131</v>
      </c>
      <c r="M37" s="54">
        <v>3.2986798679999998</v>
      </c>
      <c r="N37" s="52">
        <v>0.47604084800000002</v>
      </c>
      <c r="O37" s="54">
        <v>189.2196098</v>
      </c>
      <c r="P37" s="52">
        <v>1.8026565000000001E-2</v>
      </c>
      <c r="Q37" s="52">
        <v>3.0360531E-2</v>
      </c>
      <c r="R37" s="144">
        <f t="shared" si="2"/>
        <v>538060624.98605943</v>
      </c>
    </row>
    <row r="38" spans="2:18">
      <c r="B38" s="70" t="s">
        <v>21</v>
      </c>
      <c r="C38" s="57"/>
      <c r="D38" s="58"/>
      <c r="E38" s="58"/>
      <c r="F38" s="58"/>
      <c r="G38" s="58"/>
      <c r="H38" s="59"/>
      <c r="I38" s="58"/>
      <c r="J38" s="58"/>
      <c r="K38" s="58"/>
      <c r="L38" s="58"/>
      <c r="M38" s="58"/>
      <c r="N38" s="58"/>
      <c r="O38" s="58"/>
      <c r="P38" s="58"/>
      <c r="Q38" s="58"/>
      <c r="R38" s="59"/>
    </row>
    <row r="39" spans="2:18">
      <c r="B39" s="46" t="str">
        <f>$B$9</f>
        <v>28.Dec - 03.Jan</v>
      </c>
      <c r="C39" s="60">
        <v>609</v>
      </c>
      <c r="D39" s="61">
        <v>260</v>
      </c>
      <c r="E39" s="61">
        <v>442</v>
      </c>
      <c r="F39" s="61">
        <v>1102</v>
      </c>
      <c r="G39" s="61">
        <v>1632</v>
      </c>
      <c r="H39" s="49">
        <v>618279</v>
      </c>
      <c r="I39" s="64">
        <v>508</v>
      </c>
      <c r="J39" s="64">
        <v>448</v>
      </c>
      <c r="K39" s="61">
        <v>1265</v>
      </c>
      <c r="L39" s="61">
        <v>699</v>
      </c>
      <c r="M39" s="51">
        <v>2.4901574800000001</v>
      </c>
      <c r="N39" s="52">
        <v>0.383975813</v>
      </c>
      <c r="O39" s="51">
        <v>179.86245059999999</v>
      </c>
      <c r="P39" s="52">
        <v>0.16346812899999999</v>
      </c>
      <c r="Q39" s="52">
        <v>0.26970527799999999</v>
      </c>
      <c r="R39" s="144">
        <f t="shared" ref="R39:R42" si="3">((I39+J39)+(K39+L39))/2*(O39*K39)</f>
        <v>332187960.01313996</v>
      </c>
    </row>
    <row r="40" spans="2:18">
      <c r="B40" s="46" t="str">
        <f>$B$10</f>
        <v>21.Dec - 27.Dec</v>
      </c>
      <c r="C40" s="60">
        <v>447</v>
      </c>
      <c r="D40" s="61">
        <v>178</v>
      </c>
      <c r="E40" s="61">
        <v>200</v>
      </c>
      <c r="F40" s="61">
        <v>868</v>
      </c>
      <c r="G40" s="61">
        <v>801</v>
      </c>
      <c r="H40" s="49">
        <v>535509</v>
      </c>
      <c r="I40" s="64">
        <v>294</v>
      </c>
      <c r="J40" s="64">
        <v>233</v>
      </c>
      <c r="K40" s="61">
        <v>653</v>
      </c>
      <c r="L40" s="61">
        <v>321</v>
      </c>
      <c r="M40" s="51">
        <v>2.221088435</v>
      </c>
      <c r="N40" s="52">
        <v>0.24561403500000001</v>
      </c>
      <c r="O40" s="54">
        <v>187.99540579999999</v>
      </c>
      <c r="P40" s="52">
        <v>0.120197044</v>
      </c>
      <c r="Q40" s="52">
        <v>0.20098522199999999</v>
      </c>
      <c r="R40" s="144">
        <f t="shared" si="3"/>
        <v>92132130.490543693</v>
      </c>
    </row>
    <row r="41" spans="2:18">
      <c r="B41" s="46" t="str">
        <f>$B$11</f>
        <v>14.Dec - 20.Dec</v>
      </c>
      <c r="C41" s="60">
        <v>332</v>
      </c>
      <c r="D41" s="61">
        <v>131</v>
      </c>
      <c r="E41" s="61">
        <v>125</v>
      </c>
      <c r="F41" s="61">
        <v>714</v>
      </c>
      <c r="G41" s="61">
        <v>683</v>
      </c>
      <c r="H41" s="49">
        <v>315465</v>
      </c>
      <c r="I41" s="64">
        <v>304</v>
      </c>
      <c r="J41" s="64">
        <v>202</v>
      </c>
      <c r="K41" s="61">
        <v>700</v>
      </c>
      <c r="L41" s="61">
        <v>197</v>
      </c>
      <c r="M41" s="51">
        <v>2.3026315789999998</v>
      </c>
      <c r="N41" s="52">
        <v>0.25291181400000001</v>
      </c>
      <c r="O41" s="51">
        <v>104.3857143</v>
      </c>
      <c r="P41" s="52">
        <v>6.4301551999999998E-2</v>
      </c>
      <c r="Q41" s="52">
        <v>0.134146341</v>
      </c>
      <c r="R41" s="144">
        <f t="shared" si="3"/>
        <v>51258605.007015005</v>
      </c>
    </row>
    <row r="42" spans="2:18" ht="15.75" thickBot="1">
      <c r="B42" s="46" t="str">
        <f>$B$12</f>
        <v>07.Dec - 13.Dec</v>
      </c>
      <c r="C42" s="60">
        <v>506</v>
      </c>
      <c r="D42" s="61">
        <v>155</v>
      </c>
      <c r="E42" s="61">
        <v>232</v>
      </c>
      <c r="F42" s="61">
        <v>1146</v>
      </c>
      <c r="G42" s="61">
        <v>2183</v>
      </c>
      <c r="H42" s="49">
        <v>432804</v>
      </c>
      <c r="I42" s="64">
        <v>792</v>
      </c>
      <c r="J42" s="64">
        <v>426</v>
      </c>
      <c r="K42" s="61">
        <v>2184</v>
      </c>
      <c r="L42" s="100">
        <v>410</v>
      </c>
      <c r="M42" s="54">
        <v>2.7575757580000002</v>
      </c>
      <c r="N42" s="52">
        <v>0.45283018899999999</v>
      </c>
      <c r="O42" s="54">
        <v>60.061813190000002</v>
      </c>
      <c r="P42" s="52">
        <v>5.3053435000000003E-2</v>
      </c>
      <c r="Q42" s="52">
        <v>9.3511449999999996E-2</v>
      </c>
      <c r="R42" s="144">
        <f t="shared" si="3"/>
        <v>250019550.01326576</v>
      </c>
    </row>
    <row r="43" spans="2:18">
      <c r="B43" s="70" t="s">
        <v>72</v>
      </c>
      <c r="C43" s="57"/>
      <c r="D43" s="58"/>
      <c r="E43" s="58"/>
      <c r="F43" s="58"/>
      <c r="G43" s="58"/>
      <c r="H43" s="59"/>
      <c r="I43" s="58"/>
      <c r="J43" s="58"/>
      <c r="K43" s="58"/>
      <c r="L43" s="58"/>
      <c r="M43" s="58"/>
      <c r="N43" s="58"/>
      <c r="O43" s="58"/>
      <c r="P43" s="58"/>
      <c r="Q43" s="58"/>
      <c r="R43" s="59"/>
    </row>
    <row r="44" spans="2:18">
      <c r="B44" s="46" t="str">
        <f>$B$9</f>
        <v>28.Dec - 03.Jan</v>
      </c>
      <c r="C44" s="60">
        <v>711</v>
      </c>
      <c r="D44" s="61">
        <v>153</v>
      </c>
      <c r="E44" s="61">
        <v>184</v>
      </c>
      <c r="F44" s="61">
        <v>945</v>
      </c>
      <c r="G44" s="61">
        <v>900</v>
      </c>
      <c r="H44" s="49">
        <v>772114</v>
      </c>
      <c r="I44" s="64">
        <v>360</v>
      </c>
      <c r="J44" s="64">
        <v>353</v>
      </c>
      <c r="K44" s="61">
        <v>787</v>
      </c>
      <c r="L44" s="61">
        <v>571</v>
      </c>
      <c r="M44" s="51">
        <v>2.1861111110000002</v>
      </c>
      <c r="N44" s="52">
        <v>0.283911672</v>
      </c>
      <c r="O44" s="51">
        <v>192.9174079</v>
      </c>
      <c r="P44" s="52">
        <v>0.13360881499999999</v>
      </c>
      <c r="Q44" s="52">
        <v>0.24242424200000001</v>
      </c>
      <c r="R44" s="144">
        <f t="shared" ref="R44:R47" si="4">((I44+J44)+(K44+L44))/2*(O44*K44)</f>
        <v>157215823.01791415</v>
      </c>
    </row>
    <row r="45" spans="2:18">
      <c r="B45" s="46" t="str">
        <f>$B$10</f>
        <v>21.Dec - 27.Dec</v>
      </c>
      <c r="C45" s="60">
        <v>903</v>
      </c>
      <c r="D45" s="61">
        <v>250</v>
      </c>
      <c r="E45" s="61">
        <v>217</v>
      </c>
      <c r="F45" s="61">
        <v>1178</v>
      </c>
      <c r="G45" s="61">
        <v>1144</v>
      </c>
      <c r="H45" s="49">
        <v>913972</v>
      </c>
      <c r="I45" s="64">
        <v>409</v>
      </c>
      <c r="J45" s="64">
        <v>390</v>
      </c>
      <c r="K45" s="61">
        <v>932</v>
      </c>
      <c r="L45" s="61">
        <v>704</v>
      </c>
      <c r="M45" s="51">
        <v>2.278728606</v>
      </c>
      <c r="N45" s="52">
        <v>0.27785326100000002</v>
      </c>
      <c r="O45" s="51">
        <v>154.78862659999999</v>
      </c>
      <c r="P45" s="52">
        <v>0.12515188299999999</v>
      </c>
      <c r="Q45" s="52">
        <v>0.24483596599999999</v>
      </c>
      <c r="R45" s="144">
        <f t="shared" si="4"/>
        <v>175640202.48928598</v>
      </c>
    </row>
    <row r="46" spans="2:18">
      <c r="B46" s="46" t="str">
        <f>$B$11</f>
        <v>14.Dec - 20.Dec</v>
      </c>
      <c r="C46" s="60">
        <v>1006</v>
      </c>
      <c r="D46" s="61">
        <v>284</v>
      </c>
      <c r="E46" s="61">
        <v>273</v>
      </c>
      <c r="F46" s="61">
        <v>1808</v>
      </c>
      <c r="G46" s="61">
        <v>2299</v>
      </c>
      <c r="H46" s="49">
        <v>940512</v>
      </c>
      <c r="I46" s="64">
        <v>764</v>
      </c>
      <c r="J46" s="64">
        <v>707</v>
      </c>
      <c r="K46" s="61">
        <v>2003</v>
      </c>
      <c r="L46" s="61">
        <v>1440</v>
      </c>
      <c r="M46" s="51">
        <v>2.6217277490000002</v>
      </c>
      <c r="N46" s="52">
        <v>0.35684259699999998</v>
      </c>
      <c r="O46" s="51">
        <v>135.79830250000001</v>
      </c>
      <c r="P46" s="52">
        <v>6.7961165000000004E-2</v>
      </c>
      <c r="Q46" s="52">
        <v>0.20120522299999999</v>
      </c>
      <c r="R46" s="144">
        <f t="shared" si="4"/>
        <v>668313827.77272749</v>
      </c>
    </row>
    <row r="47" spans="2:18" ht="15.75" thickBot="1">
      <c r="B47" s="46" t="str">
        <f>$B$12</f>
        <v>07.Dec - 13.Dec</v>
      </c>
      <c r="C47" s="60">
        <v>914</v>
      </c>
      <c r="D47" s="61">
        <v>244</v>
      </c>
      <c r="E47" s="61">
        <v>348</v>
      </c>
      <c r="F47" s="61">
        <v>1998</v>
      </c>
      <c r="G47" s="61">
        <v>3214</v>
      </c>
      <c r="H47" s="49">
        <v>986272</v>
      </c>
      <c r="I47" s="64">
        <v>969</v>
      </c>
      <c r="J47" s="64">
        <v>893</v>
      </c>
      <c r="K47" s="61">
        <v>2537</v>
      </c>
      <c r="L47" s="100">
        <v>1821</v>
      </c>
      <c r="M47" s="54">
        <v>2.6181630550000001</v>
      </c>
      <c r="N47" s="52">
        <v>0.38837675399999999</v>
      </c>
      <c r="O47" s="54">
        <v>126.7627119</v>
      </c>
      <c r="P47" s="52">
        <v>7.2851021000000002E-2</v>
      </c>
      <c r="Q47" s="52">
        <v>0.22611545199999999</v>
      </c>
      <c r="R47" s="144">
        <f t="shared" si="4"/>
        <v>1000166670.280833</v>
      </c>
    </row>
    <row r="48" spans="2:18">
      <c r="B48" s="70" t="s">
        <v>22</v>
      </c>
      <c r="C48" s="57"/>
      <c r="D48" s="58"/>
      <c r="E48" s="58"/>
      <c r="F48" s="58"/>
      <c r="G48" s="58"/>
      <c r="H48" s="59"/>
      <c r="I48" s="58"/>
      <c r="J48" s="58"/>
      <c r="K48" s="58"/>
      <c r="L48" s="58"/>
      <c r="M48" s="58"/>
      <c r="N48" s="58"/>
      <c r="O48" s="58"/>
      <c r="P48" s="58"/>
      <c r="Q48" s="58"/>
      <c r="R48" s="59"/>
    </row>
    <row r="49" spans="2:18">
      <c r="B49" s="46" t="str">
        <f>$B$9</f>
        <v>28.Dec - 03.Jan</v>
      </c>
      <c r="C49" s="60">
        <v>271</v>
      </c>
      <c r="D49" s="61">
        <v>47</v>
      </c>
      <c r="E49" s="61">
        <v>85</v>
      </c>
      <c r="F49" s="61">
        <v>174</v>
      </c>
      <c r="G49" s="61">
        <v>477</v>
      </c>
      <c r="H49" s="49">
        <v>279811</v>
      </c>
      <c r="I49" s="64">
        <v>186</v>
      </c>
      <c r="J49" s="64">
        <v>98</v>
      </c>
      <c r="K49" s="61">
        <v>523</v>
      </c>
      <c r="L49" s="61">
        <v>145</v>
      </c>
      <c r="M49" s="51">
        <v>2.8118279570000002</v>
      </c>
      <c r="N49" s="52">
        <v>0.340659341</v>
      </c>
      <c r="O49" s="51">
        <v>230.6711281</v>
      </c>
      <c r="P49" s="52">
        <v>4.4094488000000001E-2</v>
      </c>
      <c r="Q49" s="52">
        <v>8.5039370000000003E-2</v>
      </c>
      <c r="R49" s="144">
        <f t="shared" ref="R49:R52" si="5">((I49+J49)+(K49+L49))/2*(O49*K49)</f>
        <v>57425115.998238802</v>
      </c>
    </row>
    <row r="50" spans="2:18">
      <c r="B50" s="46" t="str">
        <f>$B$10</f>
        <v>21.Dec - 27.Dec</v>
      </c>
      <c r="C50" s="60">
        <v>219</v>
      </c>
      <c r="D50" s="61">
        <v>46</v>
      </c>
      <c r="E50" s="61">
        <v>82</v>
      </c>
      <c r="F50" s="61">
        <v>173</v>
      </c>
      <c r="G50" s="61">
        <v>519</v>
      </c>
      <c r="H50" s="49">
        <v>243536</v>
      </c>
      <c r="I50" s="64">
        <v>178</v>
      </c>
      <c r="J50" s="64">
        <v>60</v>
      </c>
      <c r="K50" s="61">
        <v>583</v>
      </c>
      <c r="L50" s="61">
        <v>107</v>
      </c>
      <c r="M50" s="51">
        <v>3.2752808990000002</v>
      </c>
      <c r="N50" s="52">
        <v>0.29865771800000002</v>
      </c>
      <c r="O50" s="51">
        <v>162.30874789999999</v>
      </c>
      <c r="P50" s="52">
        <v>3.3773862000000002E-2</v>
      </c>
      <c r="Q50" s="52">
        <v>7.1953009999999998E-2</v>
      </c>
      <c r="R50" s="144">
        <f t="shared" si="5"/>
        <v>43906464.011924796</v>
      </c>
    </row>
    <row r="51" spans="2:18">
      <c r="B51" s="46" t="str">
        <f>$B$11</f>
        <v>14.Dec - 20.Dec</v>
      </c>
      <c r="C51" s="60">
        <v>238</v>
      </c>
      <c r="D51" s="61">
        <v>43</v>
      </c>
      <c r="E51" s="61">
        <v>118</v>
      </c>
      <c r="F51" s="61">
        <v>184</v>
      </c>
      <c r="G51" s="61">
        <v>800</v>
      </c>
      <c r="H51" s="49">
        <v>233933</v>
      </c>
      <c r="I51" s="64">
        <v>236</v>
      </c>
      <c r="J51" s="64">
        <v>83</v>
      </c>
      <c r="K51" s="61">
        <v>813</v>
      </c>
      <c r="L51" s="61">
        <v>139</v>
      </c>
      <c r="M51" s="51">
        <v>3.4449152540000001</v>
      </c>
      <c r="N51" s="52">
        <v>0.34604105600000001</v>
      </c>
      <c r="O51" s="51">
        <v>106.58794589999999</v>
      </c>
      <c r="P51" s="52">
        <v>2.1468926999999999E-2</v>
      </c>
      <c r="Q51" s="52">
        <v>4.519774E-2</v>
      </c>
      <c r="R51" s="144">
        <f t="shared" si="5"/>
        <v>55069888.010612845</v>
      </c>
    </row>
    <row r="52" spans="2:18">
      <c r="B52" s="46" t="str">
        <f>$B$12</f>
        <v>07.Dec - 13.Dec</v>
      </c>
      <c r="C52" s="60">
        <v>193</v>
      </c>
      <c r="D52" s="61">
        <v>28</v>
      </c>
      <c r="E52" s="61">
        <v>82</v>
      </c>
      <c r="F52" s="61">
        <v>153</v>
      </c>
      <c r="G52" s="61">
        <v>671</v>
      </c>
      <c r="H52" s="49">
        <v>230455</v>
      </c>
      <c r="I52" s="64">
        <v>292</v>
      </c>
      <c r="J52" s="64">
        <v>101</v>
      </c>
      <c r="K52" s="61">
        <v>999</v>
      </c>
      <c r="L52" s="61">
        <v>152</v>
      </c>
      <c r="M52" s="51">
        <v>3.421232877</v>
      </c>
      <c r="N52" s="52">
        <v>0.33796296300000001</v>
      </c>
      <c r="O52" s="51">
        <v>98.039039040000006</v>
      </c>
      <c r="P52" s="52">
        <v>1.9553073000000001E-2</v>
      </c>
      <c r="Q52" s="52">
        <v>3.7243947999999999E-2</v>
      </c>
      <c r="R52" s="144">
        <f t="shared" si="5"/>
        <v>75610452.000741124</v>
      </c>
    </row>
    <row r="53" spans="2:18" ht="30" customHeight="1"/>
    <row r="54" spans="2:18">
      <c r="B54" s="187" t="s">
        <v>28</v>
      </c>
      <c r="C54" s="188"/>
      <c r="D54" s="189" t="s">
        <v>29</v>
      </c>
      <c r="E54" s="190"/>
      <c r="F54" s="190"/>
      <c r="G54" s="191"/>
      <c r="H54" s="18"/>
      <c r="I54" s="18"/>
      <c r="J54" s="18"/>
    </row>
    <row r="55" spans="2:18">
      <c r="B55" s="187" t="s">
        <v>30</v>
      </c>
      <c r="C55" s="188"/>
      <c r="D55" s="189" t="s">
        <v>31</v>
      </c>
      <c r="E55" s="190"/>
      <c r="F55" s="190"/>
      <c r="G55" s="191"/>
      <c r="H55" s="18"/>
      <c r="I55" s="18"/>
      <c r="J55" s="18"/>
    </row>
    <row r="57" spans="2:18" ht="15.75" thickBot="1"/>
    <row r="58" spans="2:18" s="19" customFormat="1" ht="27.75" customHeight="1">
      <c r="B58" s="196" t="s">
        <v>28</v>
      </c>
      <c r="C58" s="197"/>
      <c r="D58" s="203" t="s">
        <v>32</v>
      </c>
      <c r="E58" s="206"/>
      <c r="F58" s="227" t="s">
        <v>33</v>
      </c>
      <c r="G58" s="228"/>
      <c r="H58" s="228"/>
      <c r="I58" s="228"/>
      <c r="J58" s="228"/>
      <c r="K58" s="228"/>
      <c r="L58" s="228"/>
      <c r="M58" s="228"/>
      <c r="N58" s="228"/>
      <c r="O58" s="228"/>
      <c r="P58" s="228"/>
      <c r="Q58" s="229"/>
      <c r="R58" s="230"/>
    </row>
    <row r="59" spans="2:18" s="19" customFormat="1" ht="27.75" customHeight="1">
      <c r="B59" s="198"/>
      <c r="C59" s="199"/>
      <c r="D59" s="205" t="s">
        <v>5</v>
      </c>
      <c r="E59" s="207"/>
      <c r="F59" s="213" t="s">
        <v>34</v>
      </c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5"/>
      <c r="R59" s="216"/>
    </row>
    <row r="60" spans="2:18" s="19" customFormat="1" ht="27.75" customHeight="1">
      <c r="B60" s="198"/>
      <c r="C60" s="199"/>
      <c r="D60" s="205" t="s">
        <v>6</v>
      </c>
      <c r="E60" s="207"/>
      <c r="F60" s="213" t="s">
        <v>35</v>
      </c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5"/>
      <c r="R60" s="216"/>
    </row>
    <row r="61" spans="2:18" s="19" customFormat="1" ht="27.75" customHeight="1">
      <c r="B61" s="198"/>
      <c r="C61" s="199"/>
      <c r="D61" s="205" t="s">
        <v>36</v>
      </c>
      <c r="E61" s="207"/>
      <c r="F61" s="213" t="s">
        <v>37</v>
      </c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5"/>
      <c r="R61" s="216"/>
    </row>
    <row r="62" spans="2:18" s="19" customFormat="1" ht="27.75" customHeight="1">
      <c r="B62" s="198"/>
      <c r="C62" s="199"/>
      <c r="D62" s="205" t="s">
        <v>38</v>
      </c>
      <c r="E62" s="207"/>
      <c r="F62" s="213" t="s">
        <v>39</v>
      </c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5"/>
      <c r="R62" s="216"/>
    </row>
    <row r="63" spans="2:18" s="19" customFormat="1" ht="27.75" customHeight="1" thickBot="1">
      <c r="B63" s="198"/>
      <c r="C63" s="199"/>
      <c r="D63" s="295" t="s">
        <v>9</v>
      </c>
      <c r="E63" s="296"/>
      <c r="F63" s="231" t="s">
        <v>40</v>
      </c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3"/>
      <c r="R63" s="234"/>
    </row>
    <row r="64" spans="2:18" s="19" customFormat="1" ht="27.75" customHeight="1">
      <c r="B64" s="196" t="s">
        <v>30</v>
      </c>
      <c r="C64" s="279"/>
      <c r="D64" s="202" t="s">
        <v>10</v>
      </c>
      <c r="E64" s="297"/>
      <c r="F64" s="298" t="s">
        <v>41</v>
      </c>
      <c r="G64" s="228"/>
      <c r="H64" s="228"/>
      <c r="I64" s="228"/>
      <c r="J64" s="228"/>
      <c r="K64" s="228"/>
      <c r="L64" s="228"/>
      <c r="M64" s="228"/>
      <c r="N64" s="228"/>
      <c r="O64" s="228"/>
      <c r="P64" s="228"/>
      <c r="Q64" s="228"/>
      <c r="R64" s="230"/>
    </row>
    <row r="65" spans="2:18" s="19" customFormat="1" ht="27.75" customHeight="1">
      <c r="B65" s="198"/>
      <c r="C65" s="280"/>
      <c r="D65" s="204" t="s">
        <v>75</v>
      </c>
      <c r="E65" s="274"/>
      <c r="F65" s="276" t="s">
        <v>92</v>
      </c>
      <c r="G65" s="277"/>
      <c r="H65" s="277"/>
      <c r="I65" s="277"/>
      <c r="J65" s="277"/>
      <c r="K65" s="277"/>
      <c r="L65" s="277"/>
      <c r="M65" s="277"/>
      <c r="N65" s="277"/>
      <c r="O65" s="277"/>
      <c r="P65" s="277"/>
      <c r="Q65" s="277"/>
      <c r="R65" s="278"/>
    </row>
    <row r="66" spans="2:18" s="19" customFormat="1" ht="27.75" customHeight="1">
      <c r="B66" s="198"/>
      <c r="C66" s="280"/>
      <c r="D66" s="204" t="s">
        <v>11</v>
      </c>
      <c r="E66" s="274"/>
      <c r="F66" s="275" t="s">
        <v>93</v>
      </c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6"/>
    </row>
    <row r="67" spans="2:18" s="19" customFormat="1" ht="27.75" customHeight="1">
      <c r="B67" s="198"/>
      <c r="C67" s="280"/>
      <c r="D67" s="290" t="s">
        <v>76</v>
      </c>
      <c r="E67" s="291"/>
      <c r="F67" s="292" t="s">
        <v>94</v>
      </c>
      <c r="G67" s="293"/>
      <c r="H67" s="293"/>
      <c r="I67" s="293"/>
      <c r="J67" s="293"/>
      <c r="K67" s="293"/>
      <c r="L67" s="293"/>
      <c r="M67" s="293"/>
      <c r="N67" s="293"/>
      <c r="O67" s="293"/>
      <c r="P67" s="293"/>
      <c r="Q67" s="293"/>
      <c r="R67" s="294"/>
    </row>
    <row r="68" spans="2:18" s="19" customFormat="1" ht="27.75" customHeight="1">
      <c r="B68" s="198"/>
      <c r="C68" s="280"/>
      <c r="D68" s="204" t="s">
        <v>12</v>
      </c>
      <c r="E68" s="274"/>
      <c r="F68" s="275" t="s">
        <v>43</v>
      </c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6"/>
    </row>
    <row r="69" spans="2:18" s="19" customFormat="1" ht="27.75" customHeight="1">
      <c r="B69" s="198"/>
      <c r="C69" s="280"/>
      <c r="D69" s="204" t="s">
        <v>13</v>
      </c>
      <c r="E69" s="274"/>
      <c r="F69" s="275" t="s">
        <v>44</v>
      </c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6"/>
    </row>
    <row r="70" spans="2:18" s="19" customFormat="1" ht="27.75" customHeight="1">
      <c r="B70" s="198"/>
      <c r="C70" s="280"/>
      <c r="D70" s="204" t="s">
        <v>45</v>
      </c>
      <c r="E70" s="274"/>
      <c r="F70" s="275" t="s">
        <v>46</v>
      </c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6"/>
    </row>
    <row r="71" spans="2:18" s="19" customFormat="1" ht="27.75" customHeight="1">
      <c r="B71" s="198"/>
      <c r="C71" s="280"/>
      <c r="D71" s="204" t="s">
        <v>47</v>
      </c>
      <c r="E71" s="274"/>
      <c r="F71" s="275" t="s">
        <v>48</v>
      </c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6"/>
    </row>
    <row r="72" spans="2:18" s="19" customFormat="1" ht="41.25" customHeight="1">
      <c r="B72" s="198"/>
      <c r="C72" s="280"/>
      <c r="D72" s="204" t="s">
        <v>15</v>
      </c>
      <c r="E72" s="274"/>
      <c r="F72" s="275" t="s">
        <v>49</v>
      </c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6"/>
    </row>
    <row r="73" spans="2:18" s="19" customFormat="1" ht="27.75" customHeight="1">
      <c r="B73" s="198"/>
      <c r="C73" s="280"/>
      <c r="D73" s="204" t="s">
        <v>16</v>
      </c>
      <c r="E73" s="274"/>
      <c r="F73" s="275" t="s">
        <v>50</v>
      </c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6"/>
    </row>
    <row r="74" spans="2:18" s="19" customFormat="1" ht="27.75" customHeight="1">
      <c r="B74" s="198"/>
      <c r="C74" s="280"/>
      <c r="D74" s="205" t="s">
        <v>74</v>
      </c>
      <c r="E74" s="282"/>
      <c r="F74" s="284" t="s">
        <v>95</v>
      </c>
      <c r="G74" s="285"/>
      <c r="H74" s="285"/>
      <c r="I74" s="285"/>
      <c r="J74" s="285"/>
      <c r="K74" s="285"/>
      <c r="L74" s="285"/>
      <c r="M74" s="285"/>
      <c r="N74" s="285"/>
      <c r="O74" s="285"/>
      <c r="P74" s="285"/>
      <c r="Q74" s="285"/>
      <c r="R74" s="286"/>
    </row>
    <row r="75" spans="2:18" s="19" customFormat="1" ht="27.75" customHeight="1" thickBot="1">
      <c r="B75" s="200"/>
      <c r="C75" s="281"/>
      <c r="D75" s="194" t="s">
        <v>73</v>
      </c>
      <c r="E75" s="283"/>
      <c r="F75" s="287" t="s">
        <v>96</v>
      </c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9"/>
    </row>
    <row r="76" spans="2:18" s="19" customFormat="1" ht="25.5" customHeight="1" thickBot="1"/>
    <row r="77" spans="2:18" ht="39.75" customHeight="1" thickBot="1">
      <c r="B77" s="179" t="s">
        <v>51</v>
      </c>
      <c r="C77" s="180"/>
      <c r="D77" s="180"/>
      <c r="E77" s="180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20"/>
    </row>
    <row r="78" spans="2:18" ht="29.25" customHeight="1"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</row>
    <row r="79" spans="2:18" ht="17.25" customHeight="1" thickBot="1"/>
    <row r="80" spans="2:18" ht="18" thickBot="1">
      <c r="C80" s="21" t="s">
        <v>52</v>
      </c>
      <c r="D80" s="37" t="s">
        <v>53</v>
      </c>
      <c r="E80" s="38"/>
      <c r="F80" s="22"/>
      <c r="G80" s="36" t="s">
        <v>54</v>
      </c>
      <c r="H80" s="22"/>
      <c r="I80" s="39" t="b">
        <f>IF(B2="Tripda Report - Daily","Rank on " &amp;  TEXT(B11,"dd/mm"))</f>
        <v>0</v>
      </c>
      <c r="J80" s="94"/>
      <c r="K80" s="40"/>
      <c r="L80" s="94"/>
      <c r="M80" s="36" t="b">
        <f>IF(B2="Tripda Report - Daily","Rank on " &amp;  TEXT(B12,"dd/mm"))</f>
        <v>0</v>
      </c>
      <c r="N80" s="41"/>
    </row>
    <row r="81" spans="3:17" ht="17.25">
      <c r="C81" s="23" t="s">
        <v>55</v>
      </c>
      <c r="D81" s="251" t="str">
        <f t="shared" ref="D81:D91" si="6">VLOOKUP(G81,$F$97:$N$104,$F$106,0)</f>
        <v>Colombia</v>
      </c>
      <c r="E81" s="252"/>
      <c r="F81" s="253"/>
      <c r="G81" s="243">
        <f>VLOOKUP(1,$E$97:$F$104,2,0)</f>
        <v>771198948.06767607</v>
      </c>
      <c r="H81" s="244"/>
      <c r="I81" s="221">
        <f>VLOOKUP(D81,[1]Teste!$N$47:$Q$57,4,0)</f>
        <v>5</v>
      </c>
      <c r="J81" s="237"/>
      <c r="K81" s="238"/>
      <c r="L81" s="120"/>
      <c r="M81" s="221">
        <f>VLOOKUP(D81,[1]Teste!$N$47:$S$57,6,0)</f>
        <v>1</v>
      </c>
      <c r="N81" s="222"/>
    </row>
    <row r="82" spans="3:17" ht="17.25">
      <c r="C82" s="24" t="s">
        <v>56</v>
      </c>
      <c r="D82" s="254" t="str">
        <f t="shared" si="6"/>
        <v>Pakistan</v>
      </c>
      <c r="E82" s="255"/>
      <c r="F82" s="256"/>
      <c r="G82" s="245">
        <f>VLOOKUP(2,$E$97:$F$104,2,0)</f>
        <v>557736032.02740455</v>
      </c>
      <c r="H82" s="246"/>
      <c r="I82" s="223">
        <f>VLOOKUP(D82,[1]Teste!$N$47:$Q$57,4,0)</f>
        <v>11</v>
      </c>
      <c r="J82" s="239"/>
      <c r="K82" s="240"/>
      <c r="L82" s="121"/>
      <c r="M82" s="223">
        <f>VLOOKUP(D82,[1]Teste!$N$47:$S$57,6,0)</f>
        <v>1</v>
      </c>
      <c r="N82" s="224"/>
    </row>
    <row r="83" spans="3:17" ht="17.25">
      <c r="C83" s="25" t="s">
        <v>57</v>
      </c>
      <c r="D83" s="257" t="str">
        <f t="shared" si="6"/>
        <v>Chile</v>
      </c>
      <c r="E83" s="258"/>
      <c r="F83" s="259"/>
      <c r="G83" s="192">
        <f>VLOOKUP(3,$E$97:$F$104,2,0)</f>
        <v>332187960.10313994</v>
      </c>
      <c r="H83" s="193"/>
      <c r="I83" s="223">
        <f>VLOOKUP(D83,[1]Teste!$N$47:$Q$57,4,0)</f>
        <v>2</v>
      </c>
      <c r="J83" s="239"/>
      <c r="K83" s="240"/>
      <c r="L83" s="121"/>
      <c r="M83" s="223">
        <f>VLOOKUP(D83,[1]Teste!$N$47:$S$57,6,0)</f>
        <v>1</v>
      </c>
      <c r="N83" s="224"/>
      <c r="P83" s="26"/>
      <c r="Q83" s="26"/>
    </row>
    <row r="84" spans="3:17" ht="17.25">
      <c r="C84" s="27" t="s">
        <v>58</v>
      </c>
      <c r="D84" s="260" t="str">
        <f t="shared" si="6"/>
        <v>India</v>
      </c>
      <c r="E84" s="261"/>
      <c r="F84" s="262"/>
      <c r="G84" s="209">
        <f>VLOOKUP(4,$E$97:$F$104,2,0)</f>
        <v>280073360.04221457</v>
      </c>
      <c r="H84" s="210"/>
      <c r="I84" s="223">
        <f>VLOOKUP(D84,[1]Teste!$N$47:$Q$57,4,0)</f>
        <v>4</v>
      </c>
      <c r="J84" s="239"/>
      <c r="K84" s="240"/>
      <c r="L84" s="121"/>
      <c r="M84" s="223">
        <f>VLOOKUP(D84,[1]Teste!$N$47:$S$57,6,0)</f>
        <v>1</v>
      </c>
      <c r="N84" s="224"/>
    </row>
    <row r="85" spans="3:17" ht="17.25">
      <c r="C85" s="27" t="s">
        <v>59</v>
      </c>
      <c r="D85" s="260" t="str">
        <f t="shared" si="6"/>
        <v>Mexico</v>
      </c>
      <c r="E85" s="261"/>
      <c r="F85" s="262"/>
      <c r="G85" s="209">
        <f>VLOOKUP(5,$E$97:$F$104,2,0)</f>
        <v>261782746.05222759</v>
      </c>
      <c r="H85" s="210"/>
      <c r="I85" s="223">
        <f>VLOOKUP(D85,[1]Teste!$N$47:$Q$57,4,0)</f>
        <v>6</v>
      </c>
      <c r="J85" s="239"/>
      <c r="K85" s="240"/>
      <c r="L85" s="121"/>
      <c r="M85" s="223">
        <f>VLOOKUP(D85,[1]Teste!$N$47:$S$57,6,0)</f>
        <v>1</v>
      </c>
      <c r="N85" s="224"/>
    </row>
    <row r="86" spans="3:17" ht="17.25">
      <c r="C86" s="27" t="s">
        <v>60</v>
      </c>
      <c r="D86" s="260" t="str">
        <f t="shared" si="6"/>
        <v>Brasil</v>
      </c>
      <c r="E86" s="261"/>
      <c r="F86" s="262"/>
      <c r="G86" s="209">
        <f>VLOOKUP(6,$E$97:$F$104,2,0)</f>
        <v>157215823.11791414</v>
      </c>
      <c r="H86" s="210"/>
      <c r="I86" s="223" t="e">
        <f>VLOOKUP(D86,[1]Teste!$N$47:$Q$57,4,0)</f>
        <v>#N/A</v>
      </c>
      <c r="J86" s="239"/>
      <c r="K86" s="240"/>
      <c r="L86" s="121"/>
      <c r="M86" s="223" t="e">
        <f>VLOOKUP(D86,[1]Teste!$N$47:$S$57,6,0)</f>
        <v>#N/A</v>
      </c>
      <c r="N86" s="224"/>
    </row>
    <row r="87" spans="3:17" ht="17.25">
      <c r="C87" s="27" t="s">
        <v>61</v>
      </c>
      <c r="D87" s="260" t="str">
        <f t="shared" si="6"/>
        <v>Argentina + Uruguay</v>
      </c>
      <c r="E87" s="261"/>
      <c r="F87" s="262"/>
      <c r="G87" s="209">
        <f>VLOOKUP(7,$E$97:$F$104,2,0)</f>
        <v>57425116.108238801</v>
      </c>
      <c r="H87" s="210"/>
      <c r="I87" s="223">
        <f>VLOOKUP(D87,[1]Teste!$N$47:$Q$57,4,0)</f>
        <v>8</v>
      </c>
      <c r="J87" s="239"/>
      <c r="K87" s="240"/>
      <c r="L87" s="121"/>
      <c r="M87" s="223">
        <f>VLOOKUP(D87,[1]Teste!$N$47:$S$57,6,0)</f>
        <v>1</v>
      </c>
      <c r="N87" s="224"/>
    </row>
    <row r="88" spans="3:17" ht="17.25">
      <c r="C88" s="27" t="s">
        <v>62</v>
      </c>
      <c r="D88" s="260" t="str">
        <f t="shared" si="6"/>
        <v>Malaysia + Singapore</v>
      </c>
      <c r="E88" s="261"/>
      <c r="F88" s="262"/>
      <c r="G88" s="209">
        <f>VLOOKUP(8,$E$97:$F$104,2,0)</f>
        <v>34265350.061006747</v>
      </c>
      <c r="H88" s="210"/>
      <c r="I88" s="223">
        <f>VLOOKUP(D88,[1]Teste!$N$47:$Q$57,4,0)</f>
        <v>3</v>
      </c>
      <c r="J88" s="239"/>
      <c r="K88" s="240"/>
      <c r="L88" s="121"/>
      <c r="M88" s="223">
        <f>VLOOKUP(D88,[1]Teste!$N$47:$S$57,6,0)</f>
        <v>1</v>
      </c>
      <c r="N88" s="224"/>
    </row>
    <row r="89" spans="3:17" ht="17.25">
      <c r="C89" s="28" t="s">
        <v>63</v>
      </c>
      <c r="D89" s="263" t="e">
        <f t="shared" si="6"/>
        <v>#N/A</v>
      </c>
      <c r="E89" s="264"/>
      <c r="F89" s="265"/>
      <c r="G89" s="211" t="e">
        <f>VLOOKUP(9,$E$97:$F$104,2,0)</f>
        <v>#N/A</v>
      </c>
      <c r="H89" s="212"/>
      <c r="I89" s="223" t="e">
        <f>VLOOKUP(D89,[1]Teste!$N$47:$Q$57,4,0)</f>
        <v>#N/A</v>
      </c>
      <c r="J89" s="239"/>
      <c r="K89" s="240"/>
      <c r="L89" s="121"/>
      <c r="M89" s="223" t="e">
        <f>VLOOKUP(D89,[1]Teste!$N$47:$S$57,6,0)</f>
        <v>#N/A</v>
      </c>
      <c r="N89" s="224"/>
    </row>
    <row r="90" spans="3:17" ht="17.25">
      <c r="C90" s="28" t="s">
        <v>64</v>
      </c>
      <c r="D90" s="263" t="e">
        <f t="shared" si="6"/>
        <v>#N/A</v>
      </c>
      <c r="E90" s="264"/>
      <c r="F90" s="265"/>
      <c r="G90" s="211" t="e">
        <f>VLOOKUP(10,$E$97:$F$104,2,0)</f>
        <v>#N/A</v>
      </c>
      <c r="H90" s="212"/>
      <c r="I90" s="223" t="e">
        <f>VLOOKUP(D90,[1]Teste!$N$47:$Q$57,4,0)</f>
        <v>#N/A</v>
      </c>
      <c r="J90" s="239"/>
      <c r="K90" s="240"/>
      <c r="L90" s="121"/>
      <c r="M90" s="223" t="e">
        <f>VLOOKUP(D90,[1]Teste!$N$47:$S$57,6,0)</f>
        <v>#N/A</v>
      </c>
      <c r="N90" s="224"/>
    </row>
    <row r="91" spans="3:17" ht="18" thickBot="1">
      <c r="C91" s="29" t="s">
        <v>65</v>
      </c>
      <c r="D91" s="266" t="e">
        <f t="shared" si="6"/>
        <v>#N/A</v>
      </c>
      <c r="E91" s="267"/>
      <c r="F91" s="268"/>
      <c r="G91" s="235" t="e">
        <f>VLOOKUP(11,$E$97:$F$104,2,0)</f>
        <v>#N/A</v>
      </c>
      <c r="H91" s="236"/>
      <c r="I91" s="225" t="e">
        <f>VLOOKUP(D91,[1]Teste!$N$47:$Q$57,4,0)</f>
        <v>#N/A</v>
      </c>
      <c r="J91" s="241"/>
      <c r="K91" s="242"/>
      <c r="L91" s="122"/>
      <c r="M91" s="225" t="e">
        <f>VLOOKUP(D91,[1]Teste!$N$47:$S$57,6,0)</f>
        <v>#N/A</v>
      </c>
      <c r="N91" s="226"/>
    </row>
    <row r="95" spans="3:17" ht="15.75" thickBot="1"/>
    <row r="96" spans="3:17">
      <c r="C96" s="271" t="s">
        <v>17</v>
      </c>
      <c r="D96" s="272"/>
      <c r="E96" s="73" t="s">
        <v>66</v>
      </c>
      <c r="F96" s="74" t="s">
        <v>67</v>
      </c>
      <c r="G96" s="75" t="s">
        <v>68</v>
      </c>
      <c r="H96" s="75" t="s">
        <v>69</v>
      </c>
      <c r="I96" s="75" t="s">
        <v>70</v>
      </c>
      <c r="J96" s="75"/>
      <c r="K96" s="76" t="s">
        <v>71</v>
      </c>
      <c r="L96" s="104"/>
    </row>
    <row r="97" spans="3:14">
      <c r="C97" s="269" t="s">
        <v>27</v>
      </c>
      <c r="D97" s="270"/>
      <c r="E97" s="78">
        <f t="shared" ref="E97:E104" si="7">RANK(F97,$F$97:$F$104)</f>
        <v>2</v>
      </c>
      <c r="F97" s="109">
        <f>R14 + 0.04</f>
        <v>557736032.02740455</v>
      </c>
      <c r="G97" s="32" t="e">
        <f t="shared" ref="G97:G104" si="8">RANK(H97,$T$42:$T$54)</f>
        <v>#REF!</v>
      </c>
      <c r="H97" s="32" t="e">
        <f>#REF! +#REF!</f>
        <v>#REF!</v>
      </c>
      <c r="I97" s="32" t="e">
        <f t="shared" ref="I97:I104" si="9">RANK(K97,$V$42:$V$54)</f>
        <v>#REF!</v>
      </c>
      <c r="J97" s="96"/>
      <c r="K97" s="33" t="e">
        <f>#REF! +#REF!</f>
        <v>#REF!</v>
      </c>
      <c r="L97" s="106"/>
      <c r="M97" s="269" t="s">
        <v>27</v>
      </c>
      <c r="N97" s="270"/>
    </row>
    <row r="98" spans="3:14">
      <c r="C98" s="247" t="s">
        <v>19</v>
      </c>
      <c r="D98" s="248"/>
      <c r="E98" s="78">
        <f t="shared" si="7"/>
        <v>5</v>
      </c>
      <c r="F98" s="109">
        <f>R19 + 0.05</f>
        <v>261782746.05222759</v>
      </c>
      <c r="G98" s="32" t="e">
        <f t="shared" si="8"/>
        <v>#REF!</v>
      </c>
      <c r="H98" s="32" t="e">
        <f>#REF!</f>
        <v>#REF!</v>
      </c>
      <c r="I98" s="32" t="e">
        <f t="shared" si="9"/>
        <v>#REF!</v>
      </c>
      <c r="J98" s="96"/>
      <c r="K98" s="33" t="e">
        <f>#REF!</f>
        <v>#REF!</v>
      </c>
      <c r="L98" s="106"/>
      <c r="M98" s="247" t="s">
        <v>19</v>
      </c>
      <c r="N98" s="248"/>
    </row>
    <row r="99" spans="3:14">
      <c r="C99" s="269" t="s">
        <v>20</v>
      </c>
      <c r="D99" s="270"/>
      <c r="E99" s="78">
        <f t="shared" si="7"/>
        <v>8</v>
      </c>
      <c r="F99" s="109">
        <f>R24 + 0.06</f>
        <v>34265350.061006747</v>
      </c>
      <c r="G99" s="32" t="e">
        <f t="shared" si="8"/>
        <v>#REF!</v>
      </c>
      <c r="H99" s="32" t="e">
        <f>#REF!+#REF!</f>
        <v>#REF!</v>
      </c>
      <c r="I99" s="32" t="e">
        <f t="shared" si="9"/>
        <v>#REF!</v>
      </c>
      <c r="J99" s="96"/>
      <c r="K99" s="33" t="e">
        <f>#REF!+#REF!</f>
        <v>#REF!</v>
      </c>
      <c r="L99" s="106"/>
      <c r="M99" s="269" t="s">
        <v>20</v>
      </c>
      <c r="N99" s="270"/>
    </row>
    <row r="100" spans="3:14">
      <c r="C100" s="269" t="s">
        <v>26</v>
      </c>
      <c r="D100" s="270"/>
      <c r="E100" s="78">
        <f t="shared" si="7"/>
        <v>4</v>
      </c>
      <c r="F100" s="109">
        <f>R29 + 0.07</f>
        <v>280073360.04221457</v>
      </c>
      <c r="G100" s="32" t="e">
        <f t="shared" si="8"/>
        <v>#REF!</v>
      </c>
      <c r="H100" s="32" t="e">
        <f>#REF!</f>
        <v>#REF!</v>
      </c>
      <c r="I100" s="32" t="e">
        <f t="shared" si="9"/>
        <v>#REF!</v>
      </c>
      <c r="J100" s="96"/>
      <c r="K100" s="33" t="e">
        <f>#REF!</f>
        <v>#REF!</v>
      </c>
      <c r="L100" s="106"/>
      <c r="M100" s="269" t="s">
        <v>26</v>
      </c>
      <c r="N100" s="270"/>
    </row>
    <row r="101" spans="3:14">
      <c r="C101" s="247" t="s">
        <v>18</v>
      </c>
      <c r="D101" s="248"/>
      <c r="E101" s="78">
        <f t="shared" si="7"/>
        <v>1</v>
      </c>
      <c r="F101" s="109">
        <f>R34 + 0.08</f>
        <v>771198948.06767607</v>
      </c>
      <c r="G101" s="32" t="e">
        <f t="shared" si="8"/>
        <v>#REF!</v>
      </c>
      <c r="H101" s="32" t="e">
        <f>#REF!</f>
        <v>#REF!</v>
      </c>
      <c r="I101" s="32" t="e">
        <f t="shared" si="9"/>
        <v>#REF!</v>
      </c>
      <c r="J101" s="96"/>
      <c r="K101" s="33" t="e">
        <f>#REF!</f>
        <v>#REF!</v>
      </c>
      <c r="L101" s="106"/>
      <c r="M101" s="247" t="s">
        <v>18</v>
      </c>
      <c r="N101" s="248"/>
    </row>
    <row r="102" spans="3:14">
      <c r="C102" s="269" t="s">
        <v>21</v>
      </c>
      <c r="D102" s="270"/>
      <c r="E102" s="78">
        <f t="shared" si="7"/>
        <v>3</v>
      </c>
      <c r="F102" s="109">
        <f>R39 + 0.09</f>
        <v>332187960.10313994</v>
      </c>
      <c r="G102" s="32" t="e">
        <f t="shared" si="8"/>
        <v>#REF!</v>
      </c>
      <c r="H102" s="32" t="e">
        <f>#REF!</f>
        <v>#REF!</v>
      </c>
      <c r="I102" s="32" t="e">
        <f t="shared" si="9"/>
        <v>#REF!</v>
      </c>
      <c r="J102" s="96"/>
      <c r="K102" s="33" t="e">
        <f>#REF!</f>
        <v>#REF!</v>
      </c>
      <c r="L102" s="106"/>
      <c r="M102" s="269" t="s">
        <v>21</v>
      </c>
      <c r="N102" s="270"/>
    </row>
    <row r="103" spans="3:14">
      <c r="C103" s="247" t="s">
        <v>72</v>
      </c>
      <c r="D103" s="248"/>
      <c r="E103" s="78">
        <f t="shared" si="7"/>
        <v>6</v>
      </c>
      <c r="F103" s="109">
        <f>R44 + 0.1</f>
        <v>157215823.11791414</v>
      </c>
      <c r="G103" s="32" t="e">
        <f t="shared" si="8"/>
        <v>#REF!</v>
      </c>
      <c r="H103" s="32" t="e">
        <f>#REF!</f>
        <v>#REF!</v>
      </c>
      <c r="I103" s="32" t="e">
        <f t="shared" si="9"/>
        <v>#REF!</v>
      </c>
      <c r="J103" s="96"/>
      <c r="K103" s="33" t="e">
        <f>#REF!</f>
        <v>#REF!</v>
      </c>
      <c r="L103" s="106"/>
      <c r="M103" s="247" t="s">
        <v>72</v>
      </c>
      <c r="N103" s="248"/>
    </row>
    <row r="104" spans="3:14" ht="15.75" thickBot="1">
      <c r="C104" s="249" t="s">
        <v>22</v>
      </c>
      <c r="D104" s="250"/>
      <c r="E104" s="79">
        <f t="shared" si="7"/>
        <v>7</v>
      </c>
      <c r="F104" s="110">
        <f>R49 + 0.11</f>
        <v>57425116.108238801</v>
      </c>
      <c r="G104" s="34" t="e">
        <f t="shared" si="8"/>
        <v>#REF!</v>
      </c>
      <c r="H104" s="34" t="e">
        <f>#REF!</f>
        <v>#REF!</v>
      </c>
      <c r="I104" s="34" t="e">
        <f t="shared" si="9"/>
        <v>#REF!</v>
      </c>
      <c r="J104" s="97"/>
      <c r="K104" s="35" t="e">
        <f>#REF!</f>
        <v>#REF!</v>
      </c>
      <c r="L104" s="107"/>
      <c r="M104" s="249" t="s">
        <v>22</v>
      </c>
      <c r="N104" s="250"/>
    </row>
    <row r="106" spans="3:14">
      <c r="F106" s="143">
        <f>G106+H106</f>
        <v>8</v>
      </c>
      <c r="G106" s="143">
        <f>COUNTA(F104:M104)</f>
        <v>6</v>
      </c>
      <c r="H106" s="143">
        <f>COUNTBLANK(F104:M104)</f>
        <v>2</v>
      </c>
    </row>
  </sheetData>
  <mergeCells count="107">
    <mergeCell ref="B2:R2"/>
    <mergeCell ref="C6:H6"/>
    <mergeCell ref="I6:R6"/>
    <mergeCell ref="B54:C54"/>
    <mergeCell ref="D54:G54"/>
    <mergeCell ref="B55:C55"/>
    <mergeCell ref="D55:G55"/>
    <mergeCell ref="F62:R62"/>
    <mergeCell ref="D65:E65"/>
    <mergeCell ref="F65:R65"/>
    <mergeCell ref="B64:C75"/>
    <mergeCell ref="D74:E74"/>
    <mergeCell ref="D75:E75"/>
    <mergeCell ref="F74:R74"/>
    <mergeCell ref="F75:R75"/>
    <mergeCell ref="D67:E67"/>
    <mergeCell ref="F67:R67"/>
    <mergeCell ref="D63:E63"/>
    <mergeCell ref="F63:R63"/>
    <mergeCell ref="D64:E64"/>
    <mergeCell ref="F64:R64"/>
    <mergeCell ref="D66:E66"/>
    <mergeCell ref="F66:R66"/>
    <mergeCell ref="D68:E68"/>
    <mergeCell ref="F68:R68"/>
    <mergeCell ref="B58:C63"/>
    <mergeCell ref="D58:E58"/>
    <mergeCell ref="F58:R58"/>
    <mergeCell ref="D59:E59"/>
    <mergeCell ref="F59:R59"/>
    <mergeCell ref="D60:E60"/>
    <mergeCell ref="F60:R60"/>
    <mergeCell ref="D61:E61"/>
    <mergeCell ref="F61:R61"/>
    <mergeCell ref="D62:E62"/>
    <mergeCell ref="D81:F81"/>
    <mergeCell ref="G81:H81"/>
    <mergeCell ref="I81:K81"/>
    <mergeCell ref="M81:N81"/>
    <mergeCell ref="D69:E69"/>
    <mergeCell ref="F69:R69"/>
    <mergeCell ref="D70:E70"/>
    <mergeCell ref="F70:R70"/>
    <mergeCell ref="D71:E71"/>
    <mergeCell ref="F71:R71"/>
    <mergeCell ref="D72:E72"/>
    <mergeCell ref="F72:R72"/>
    <mergeCell ref="D73:E73"/>
    <mergeCell ref="F73:R73"/>
    <mergeCell ref="B77:P77"/>
    <mergeCell ref="D82:F82"/>
    <mergeCell ref="G82:H82"/>
    <mergeCell ref="I82:K82"/>
    <mergeCell ref="M82:N82"/>
    <mergeCell ref="D83:F83"/>
    <mergeCell ref="G83:H83"/>
    <mergeCell ref="I83:K83"/>
    <mergeCell ref="M83:N83"/>
    <mergeCell ref="D84:F84"/>
    <mergeCell ref="G84:H84"/>
    <mergeCell ref="I84:K84"/>
    <mergeCell ref="M84:N84"/>
    <mergeCell ref="D85:F85"/>
    <mergeCell ref="G85:H85"/>
    <mergeCell ref="I85:K85"/>
    <mergeCell ref="M85:N85"/>
    <mergeCell ref="D86:F86"/>
    <mergeCell ref="G86:H86"/>
    <mergeCell ref="I86:K86"/>
    <mergeCell ref="M86:N86"/>
    <mergeCell ref="D87:F87"/>
    <mergeCell ref="G87:H87"/>
    <mergeCell ref="I87:K87"/>
    <mergeCell ref="M87:N87"/>
    <mergeCell ref="D88:F88"/>
    <mergeCell ref="G88:H88"/>
    <mergeCell ref="I88:K88"/>
    <mergeCell ref="M88:N88"/>
    <mergeCell ref="D89:F89"/>
    <mergeCell ref="G89:H89"/>
    <mergeCell ref="I89:K89"/>
    <mergeCell ref="M89:N89"/>
    <mergeCell ref="C96:D96"/>
    <mergeCell ref="D90:F90"/>
    <mergeCell ref="G90:H90"/>
    <mergeCell ref="I90:K90"/>
    <mergeCell ref="M90:N90"/>
    <mergeCell ref="D91:F91"/>
    <mergeCell ref="G91:H91"/>
    <mergeCell ref="I91:K91"/>
    <mergeCell ref="M91:N91"/>
    <mergeCell ref="C97:D97"/>
    <mergeCell ref="M97:N97"/>
    <mergeCell ref="C98:D98"/>
    <mergeCell ref="M98:N98"/>
    <mergeCell ref="C99:D99"/>
    <mergeCell ref="M99:N99"/>
    <mergeCell ref="C103:D103"/>
    <mergeCell ref="M103:N103"/>
    <mergeCell ref="C104:D104"/>
    <mergeCell ref="M104:N104"/>
    <mergeCell ref="C100:D100"/>
    <mergeCell ref="M100:N100"/>
    <mergeCell ref="C101:D101"/>
    <mergeCell ref="M101:N101"/>
    <mergeCell ref="C102:D102"/>
    <mergeCell ref="M102:N102"/>
  </mergeCells>
  <conditionalFormatting sqref="I81:J91 M81:M91">
    <cfRule type="cellIs" dxfId="7" priority="1" operator="greaterThan">
      <formula>8</formula>
    </cfRule>
    <cfRule type="cellIs" dxfId="6" priority="2" operator="equal">
      <formula>3</formula>
    </cfRule>
    <cfRule type="cellIs" dxfId="5" priority="3" operator="equal">
      <formula>2</formula>
    </cfRule>
    <cfRule type="cellIs" dxfId="4" priority="4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8" max="1048575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1:U127"/>
  <sheetViews>
    <sheetView showGridLines="0" zoomScale="70" zoomScaleNormal="70" zoomScalePageLayoutView="70" workbookViewId="0">
      <selection activeCell="E7" sqref="E7"/>
    </sheetView>
  </sheetViews>
  <sheetFormatPr defaultRowHeight="15"/>
  <cols>
    <col min="1" max="1" width="5.7109375" style="143" customWidth="1"/>
    <col min="2" max="2" width="20" style="143" customWidth="1"/>
    <col min="3" max="3" width="10.28515625" style="143" customWidth="1"/>
    <col min="4" max="4" width="11.85546875" style="143" customWidth="1"/>
    <col min="5" max="5" width="13.42578125" style="143" customWidth="1"/>
    <col min="6" max="6" width="13.5703125" style="143" customWidth="1"/>
    <col min="7" max="7" width="12.140625" style="143" customWidth="1"/>
    <col min="8" max="8" width="15.7109375" style="143" customWidth="1"/>
    <col min="9" max="10" width="11.5703125" style="143" customWidth="1"/>
    <col min="11" max="12" width="13.28515625" style="143" customWidth="1"/>
    <col min="13" max="13" width="16.7109375" style="143" customWidth="1"/>
    <col min="14" max="14" width="12.7109375" style="143" customWidth="1"/>
    <col min="15" max="15" width="14.85546875" style="143" customWidth="1"/>
    <col min="16" max="17" width="14.42578125" style="143" customWidth="1"/>
    <col min="18" max="18" width="19" style="143" customWidth="1"/>
    <col min="19" max="16384" width="9.140625" style="143"/>
  </cols>
  <sheetData>
    <row r="1" spans="2:21" ht="15.75" thickBot="1"/>
    <row r="2" spans="2:21" s="1" customFormat="1" ht="40.5" customHeight="1" thickBot="1">
      <c r="B2" s="179" t="str">
        <f>'(Monthly)Report2'!B2:R2</f>
        <v>Tripda Report - Weekly</v>
      </c>
      <c r="C2" s="180"/>
      <c r="D2" s="180"/>
      <c r="E2" s="180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</row>
    <row r="3" spans="2:21" s="1" customFormat="1" ht="12" customHeight="1"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2:21" s="1" customFormat="1" ht="12" customHeight="1"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2:21" ht="12" customHeight="1" thickBot="1">
      <c r="B5" s="6"/>
      <c r="C5" s="6"/>
      <c r="D5" s="6"/>
      <c r="E5" s="6"/>
      <c r="G5" s="5"/>
      <c r="H5" s="5"/>
      <c r="I5" s="5"/>
      <c r="J5" s="5"/>
      <c r="K5" s="5"/>
      <c r="L5" s="5"/>
      <c r="M5" s="5"/>
      <c r="N5" s="5"/>
      <c r="O5" s="5"/>
    </row>
    <row r="6" spans="2:21" ht="24" thickBot="1">
      <c r="B6" s="7"/>
      <c r="C6" s="182" t="s">
        <v>2</v>
      </c>
      <c r="D6" s="183"/>
      <c r="E6" s="183"/>
      <c r="F6" s="183"/>
      <c r="G6" s="183"/>
      <c r="H6" s="184"/>
      <c r="I6" s="185" t="s">
        <v>3</v>
      </c>
      <c r="J6" s="185"/>
      <c r="K6" s="185"/>
      <c r="L6" s="185"/>
      <c r="M6" s="185"/>
      <c r="N6" s="185"/>
      <c r="O6" s="185"/>
      <c r="P6" s="185"/>
      <c r="Q6" s="185"/>
      <c r="R6" s="186"/>
    </row>
    <row r="7" spans="2:21" ht="60" customHeight="1" thickBot="1">
      <c r="B7" s="84"/>
      <c r="C7" s="9" t="s">
        <v>4</v>
      </c>
      <c r="D7" s="10" t="s">
        <v>5</v>
      </c>
      <c r="E7" s="11" t="s">
        <v>103</v>
      </c>
      <c r="F7" s="12" t="s">
        <v>7</v>
      </c>
      <c r="G7" s="12" t="s">
        <v>8</v>
      </c>
      <c r="H7" s="13" t="s">
        <v>9</v>
      </c>
      <c r="I7" s="10" t="s">
        <v>10</v>
      </c>
      <c r="J7" s="10" t="s">
        <v>75</v>
      </c>
      <c r="K7" s="12" t="s">
        <v>11</v>
      </c>
      <c r="L7" s="12" t="s">
        <v>76</v>
      </c>
      <c r="M7" s="12" t="s">
        <v>12</v>
      </c>
      <c r="N7" s="12" t="s">
        <v>13</v>
      </c>
      <c r="O7" s="12" t="s">
        <v>14</v>
      </c>
      <c r="P7" s="12" t="s">
        <v>15</v>
      </c>
      <c r="Q7" s="13" t="s">
        <v>16</v>
      </c>
      <c r="R7" s="13" t="s">
        <v>73</v>
      </c>
    </row>
    <row r="8" spans="2:21">
      <c r="B8" s="14" t="s">
        <v>17</v>
      </c>
      <c r="C8" s="14"/>
      <c r="D8" s="15"/>
      <c r="E8" s="15"/>
      <c r="F8" s="15"/>
      <c r="G8" s="15"/>
      <c r="H8" s="16"/>
      <c r="I8" s="15"/>
      <c r="J8" s="15"/>
      <c r="K8" s="15"/>
      <c r="L8" s="15"/>
      <c r="M8" s="15"/>
      <c r="N8" s="15"/>
      <c r="O8" s="15"/>
      <c r="P8" s="15"/>
      <c r="Q8" s="15"/>
      <c r="R8" s="16"/>
      <c r="U8" s="17"/>
    </row>
    <row r="9" spans="2:21">
      <c r="B9" s="85" t="str">
        <f>'(Monthly)Report2'!B9</f>
        <v>28.Dec - 03.Jan</v>
      </c>
      <c r="C9" s="152">
        <f>'(Monthly)Report2'!C9</f>
        <v>5519</v>
      </c>
      <c r="D9" s="153">
        <f>'(Monthly)Report2'!D9</f>
        <v>1334</v>
      </c>
      <c r="E9" s="153">
        <f>'(Monthly)Report2'!E9</f>
        <v>2077</v>
      </c>
      <c r="F9" s="153">
        <f>'(Monthly)Report2'!F9</f>
        <v>6935</v>
      </c>
      <c r="G9" s="153">
        <f>'(Monthly)Report2'!G9</f>
        <v>13618</v>
      </c>
      <c r="H9" s="154">
        <f>'(Monthly)Report2'!H9</f>
        <v>4461430</v>
      </c>
      <c r="I9" s="155">
        <f>'(Monthly)Report2'!I9</f>
        <v>4944</v>
      </c>
      <c r="J9" s="155">
        <f>'(Monthly)Report2'!J9</f>
        <v>3470</v>
      </c>
      <c r="K9" s="155">
        <f>'(Monthly)Report2'!K9</f>
        <v>14174</v>
      </c>
      <c r="L9" s="155">
        <f>'(Monthly)Report2'!L9</f>
        <v>6342</v>
      </c>
      <c r="M9" s="148">
        <f>'(Monthly)Report2'!M9</f>
        <v>2.8669090000000002</v>
      </c>
      <c r="N9" s="150">
        <f>'(Monthly)Report2'!N9</f>
        <v>0.29032799999999997</v>
      </c>
      <c r="O9" s="148">
        <f>'(Monthly)Report2'!O9</f>
        <v>93.059550000000002</v>
      </c>
      <c r="P9" s="150">
        <f>'(Monthly)Report2'!P9</f>
        <v>7.9264000000000001E-2</v>
      </c>
      <c r="Q9" s="150">
        <f>'(Monthly)Report2'!Q9</f>
        <v>0.13068099999999999</v>
      </c>
      <c r="R9" s="144">
        <f>'(Monthly)Report2'!R9</f>
        <v>19079711982.490498</v>
      </c>
    </row>
    <row r="10" spans="2:21">
      <c r="B10" s="85" t="str">
        <f>'(Monthly)Report2'!B10</f>
        <v>21.Dec - 27.Dec</v>
      </c>
      <c r="C10" s="152">
        <f>'(Monthly)Report2'!C10</f>
        <v>4647</v>
      </c>
      <c r="D10" s="153">
        <f>'(Monthly)Report2'!D10</f>
        <v>1359</v>
      </c>
      <c r="E10" s="153">
        <f>'(Monthly)Report2'!E10</f>
        <v>1740</v>
      </c>
      <c r="F10" s="153">
        <f>'(Monthly)Report2'!F10</f>
        <v>6937</v>
      </c>
      <c r="G10" s="153">
        <f>'(Monthly)Report2'!G10</f>
        <v>13116</v>
      </c>
      <c r="H10" s="154">
        <f>'(Monthly)Report2'!H10</f>
        <v>4510711</v>
      </c>
      <c r="I10" s="155">
        <f>'(Monthly)Report2'!I10</f>
        <v>5314</v>
      </c>
      <c r="J10" s="155">
        <f>'(Monthly)Report2'!J10</f>
        <v>3561</v>
      </c>
      <c r="K10" s="155">
        <f>'(Monthly)Report2'!K10</f>
        <v>15715</v>
      </c>
      <c r="L10" s="155">
        <f>'(Monthly)Report2'!L10</f>
        <v>6876</v>
      </c>
      <c r="M10" s="148">
        <f>'(Monthly)Report2'!M10</f>
        <v>2.9572829999999999</v>
      </c>
      <c r="N10" s="150">
        <f>'(Monthly)Report2'!N10</f>
        <v>0.28031899999999998</v>
      </c>
      <c r="O10" s="148">
        <f>'(Monthly)Report2'!O10</f>
        <v>65.727459999999994</v>
      </c>
      <c r="P10" s="150">
        <f>'(Monthly)Report2'!P10</f>
        <v>3.7990999999999997E-2</v>
      </c>
      <c r="Q10" s="150">
        <f>'(Monthly)Report2'!Q10</f>
        <v>7.0066000000000003E-2</v>
      </c>
      <c r="R10" s="144">
        <f>'(Monthly)Report2'!R10</f>
        <v>16250726364.3487</v>
      </c>
    </row>
    <row r="11" spans="2:21">
      <c r="B11" s="85" t="str">
        <f>'(Monthly)Report2'!B11</f>
        <v>14.Dec - 20.Dec</v>
      </c>
      <c r="C11" s="152">
        <f>'(Monthly)Report2'!C11</f>
        <v>4814</v>
      </c>
      <c r="D11" s="153">
        <f>'(Monthly)Report2'!D11</f>
        <v>1347</v>
      </c>
      <c r="E11" s="153">
        <f>'(Monthly)Report2'!E11</f>
        <v>1771</v>
      </c>
      <c r="F11" s="153">
        <f>'(Monthly)Report2'!F11</f>
        <v>6590</v>
      </c>
      <c r="G11" s="153">
        <f>'(Monthly)Report2'!G11</f>
        <v>12422</v>
      </c>
      <c r="H11" s="154">
        <f>'(Monthly)Report2'!H11</f>
        <v>3797326</v>
      </c>
      <c r="I11" s="155">
        <f>'(Monthly)Report2'!I11</f>
        <v>4980</v>
      </c>
      <c r="J11" s="155">
        <f>'(Monthly)Report2'!J11</f>
        <v>2728</v>
      </c>
      <c r="K11" s="155">
        <f>'(Monthly)Report2'!K11</f>
        <v>15165</v>
      </c>
      <c r="L11" s="155">
        <f>'(Monthly)Report2'!L11</f>
        <v>4520</v>
      </c>
      <c r="M11" s="148">
        <f>'(Monthly)Report2'!M11</f>
        <v>3.0451809999999999</v>
      </c>
      <c r="N11" s="150">
        <f>'(Monthly)Report2'!N11</f>
        <v>0.266125</v>
      </c>
      <c r="O11" s="148">
        <f>'(Monthly)Report2'!O11</f>
        <v>65.366829999999993</v>
      </c>
      <c r="P11" s="150">
        <f>'(Monthly)Report2'!P11</f>
        <v>2.4510000000000001E-2</v>
      </c>
      <c r="Q11" s="150">
        <f>'(Monthly)Report2'!Q11</f>
        <v>6.4809000000000005E-2</v>
      </c>
      <c r="R11" s="144">
        <f>'(Monthly)Report2'!R11</f>
        <v>13577175776.295673</v>
      </c>
    </row>
    <row r="12" spans="2:21" ht="15.75" thickBot="1">
      <c r="B12" s="86" t="str">
        <f>'(Monthly)Report2'!B12</f>
        <v>07.Dec - 13.Dec</v>
      </c>
      <c r="C12" s="156">
        <f>'(Monthly)Report2'!C12</f>
        <v>4561</v>
      </c>
      <c r="D12" s="157">
        <f>'(Monthly)Report2'!D12</f>
        <v>1265</v>
      </c>
      <c r="E12" s="157">
        <f>'(Monthly)Report2'!E12</f>
        <v>1825</v>
      </c>
      <c r="F12" s="157">
        <f>'(Monthly)Report2'!F12</f>
        <v>7378</v>
      </c>
      <c r="G12" s="157">
        <f>'(Monthly)Report2'!G12</f>
        <v>16855</v>
      </c>
      <c r="H12" s="158">
        <f>'(Monthly)Report2'!H12</f>
        <v>4174643</v>
      </c>
      <c r="I12" s="159">
        <f>'(Monthly)Report2'!I12</f>
        <v>6069</v>
      </c>
      <c r="J12" s="159">
        <f>'(Monthly)Report2'!J12</f>
        <v>3476</v>
      </c>
      <c r="K12" s="159">
        <f>'(Monthly)Report2'!K12</f>
        <v>18656</v>
      </c>
      <c r="L12" s="159">
        <f>'(Monthly)Report2'!L12</f>
        <v>5679</v>
      </c>
      <c r="M12" s="149">
        <f>'(Monthly)Report2'!M12</f>
        <v>3.0739830000000001</v>
      </c>
      <c r="N12" s="151">
        <f>'(Monthly)Report2'!N12</f>
        <v>0.314913</v>
      </c>
      <c r="O12" s="149">
        <f>'(Monthly)Report2'!O12</f>
        <v>73.192430000000002</v>
      </c>
      <c r="P12" s="151">
        <f>'(Monthly)Report2'!P12</f>
        <v>2.9311E-2</v>
      </c>
      <c r="Q12" s="151">
        <f>'(Monthly)Report2'!Q12</f>
        <v>7.2051000000000004E-2</v>
      </c>
      <c r="R12" s="144">
        <f>'(Monthly)Report2'!R12</f>
        <v>23131196880.915203</v>
      </c>
    </row>
    <row r="13" spans="2:21">
      <c r="B13" s="56" t="s">
        <v>18</v>
      </c>
      <c r="C13" s="57"/>
      <c r="D13" s="58"/>
      <c r="E13" s="58"/>
      <c r="F13" s="58"/>
      <c r="G13" s="58"/>
      <c r="H13" s="59"/>
      <c r="I13" s="58"/>
      <c r="J13" s="58"/>
      <c r="K13" s="58"/>
      <c r="L13" s="58"/>
      <c r="M13" s="58"/>
      <c r="N13" s="58"/>
      <c r="O13" s="58"/>
      <c r="P13" s="58"/>
      <c r="Q13" s="58"/>
      <c r="R13" s="59"/>
    </row>
    <row r="14" spans="2:21">
      <c r="B14" s="46" t="s">
        <v>88</v>
      </c>
      <c r="C14" s="152">
        <v>1865</v>
      </c>
      <c r="D14" s="153">
        <v>287</v>
      </c>
      <c r="E14" s="153">
        <v>564</v>
      </c>
      <c r="F14" s="153">
        <v>1612</v>
      </c>
      <c r="G14" s="153">
        <v>1579</v>
      </c>
      <c r="H14" s="154">
        <v>871327</v>
      </c>
      <c r="I14" s="155">
        <v>706</v>
      </c>
      <c r="J14" s="155">
        <v>618</v>
      </c>
      <c r="K14" s="155">
        <v>1830</v>
      </c>
      <c r="L14" s="155">
        <v>954</v>
      </c>
      <c r="M14" s="51">
        <v>2.5920679889999998</v>
      </c>
      <c r="N14" s="52">
        <v>0.49929278599999999</v>
      </c>
      <c r="O14" s="51">
        <v>205.17049180000001</v>
      </c>
      <c r="P14" s="52">
        <v>0.140698772</v>
      </c>
      <c r="Q14" s="111">
        <v>0.23260938</v>
      </c>
      <c r="R14" s="144">
        <v>771198947.98767602</v>
      </c>
    </row>
    <row r="15" spans="2:21">
      <c r="B15" s="46" t="s">
        <v>89</v>
      </c>
      <c r="C15" s="152">
        <v>909</v>
      </c>
      <c r="D15" s="153">
        <v>200</v>
      </c>
      <c r="E15" s="153">
        <v>278</v>
      </c>
      <c r="F15" s="153">
        <v>1378</v>
      </c>
      <c r="G15" s="153">
        <v>1153</v>
      </c>
      <c r="H15" s="154">
        <v>544179</v>
      </c>
      <c r="I15" s="155">
        <v>442</v>
      </c>
      <c r="J15" s="155">
        <v>307</v>
      </c>
      <c r="K15" s="155">
        <v>1212</v>
      </c>
      <c r="L15" s="155">
        <v>455</v>
      </c>
      <c r="M15" s="51">
        <v>2.742081448</v>
      </c>
      <c r="N15" s="52">
        <v>0.41269841299999999</v>
      </c>
      <c r="O15" s="51">
        <v>119.6691419</v>
      </c>
      <c r="P15" s="52">
        <v>0.10176236499999999</v>
      </c>
      <c r="Q15" s="111">
        <v>0.16088686799999999</v>
      </c>
      <c r="R15" s="144">
        <v>175207111.97922239</v>
      </c>
    </row>
    <row r="16" spans="2:21">
      <c r="B16" s="53" t="s">
        <v>90</v>
      </c>
      <c r="C16" s="152">
        <v>572</v>
      </c>
      <c r="D16" s="153">
        <v>135</v>
      </c>
      <c r="E16" s="153">
        <v>123</v>
      </c>
      <c r="F16" s="153">
        <v>801</v>
      </c>
      <c r="G16" s="153">
        <v>844</v>
      </c>
      <c r="H16" s="154">
        <v>367871</v>
      </c>
      <c r="I16" s="155">
        <v>500</v>
      </c>
      <c r="J16" s="155">
        <v>109</v>
      </c>
      <c r="K16" s="155">
        <v>1606</v>
      </c>
      <c r="L16" s="155">
        <v>138</v>
      </c>
      <c r="M16" s="54">
        <v>3.2120000000000002</v>
      </c>
      <c r="N16" s="52">
        <v>0.46425255300000001</v>
      </c>
      <c r="O16" s="54">
        <v>92.766500620000002</v>
      </c>
      <c r="P16" s="52">
        <v>2.6132404000000001E-2</v>
      </c>
      <c r="Q16" s="111">
        <v>3.8908246E-2</v>
      </c>
      <c r="R16" s="144">
        <v>175278499.49496457</v>
      </c>
    </row>
    <row r="17" spans="2:21" ht="15.75" thickBot="1">
      <c r="B17" s="53" t="s">
        <v>91</v>
      </c>
      <c r="C17" s="156">
        <v>471</v>
      </c>
      <c r="D17" s="157">
        <v>102</v>
      </c>
      <c r="E17" s="157">
        <v>58</v>
      </c>
      <c r="F17" s="157">
        <v>805</v>
      </c>
      <c r="G17" s="157">
        <v>892</v>
      </c>
      <c r="H17" s="158">
        <v>571640</v>
      </c>
      <c r="I17" s="159">
        <v>606</v>
      </c>
      <c r="J17" s="159">
        <v>109</v>
      </c>
      <c r="K17" s="159">
        <v>1999</v>
      </c>
      <c r="L17" s="159">
        <v>131</v>
      </c>
      <c r="M17" s="55">
        <v>3.2986798679999998</v>
      </c>
      <c r="N17" s="52">
        <v>0.47604084800000002</v>
      </c>
      <c r="O17" s="55">
        <v>189.2196098</v>
      </c>
      <c r="P17" s="52">
        <v>1.8026565000000001E-2</v>
      </c>
      <c r="Q17" s="111">
        <v>3.0360531E-2</v>
      </c>
      <c r="R17" s="144">
        <v>538060624.98605943</v>
      </c>
    </row>
    <row r="18" spans="2:21">
      <c r="B18" s="56" t="s">
        <v>27</v>
      </c>
      <c r="C18" s="57"/>
      <c r="D18" s="58"/>
      <c r="E18" s="58"/>
      <c r="F18" s="58"/>
      <c r="G18" s="58"/>
      <c r="H18" s="59"/>
      <c r="I18" s="58"/>
      <c r="J18" s="58"/>
      <c r="K18" s="58"/>
      <c r="L18" s="58"/>
      <c r="M18" s="58"/>
      <c r="N18" s="58"/>
      <c r="O18" s="58"/>
      <c r="P18" s="58"/>
      <c r="Q18" s="58"/>
      <c r="R18" s="59"/>
      <c r="T18" s="17"/>
      <c r="U18" s="17"/>
    </row>
    <row r="19" spans="2:21">
      <c r="B19" s="46" t="s">
        <v>88</v>
      </c>
      <c r="C19" s="152">
        <v>202</v>
      </c>
      <c r="D19" s="153">
        <v>138</v>
      </c>
      <c r="E19" s="153">
        <v>147</v>
      </c>
      <c r="F19" s="153">
        <v>867</v>
      </c>
      <c r="G19" s="153">
        <v>3584</v>
      </c>
      <c r="H19" s="154">
        <v>647588</v>
      </c>
      <c r="I19" s="155">
        <v>1364</v>
      </c>
      <c r="J19" s="155">
        <v>1184</v>
      </c>
      <c r="K19" s="155">
        <v>4021</v>
      </c>
      <c r="L19" s="155">
        <v>2937</v>
      </c>
      <c r="M19" s="51">
        <v>2.947947214</v>
      </c>
      <c r="N19" s="52">
        <v>0.173890872</v>
      </c>
      <c r="O19" s="51">
        <v>29.182790350000001</v>
      </c>
      <c r="P19" s="52">
        <v>4.5563549999999998E-3</v>
      </c>
      <c r="Q19" s="111">
        <v>2.5659471999999999E-2</v>
      </c>
      <c r="R19" s="144">
        <v>557736031.98740458</v>
      </c>
    </row>
    <row r="20" spans="2:21">
      <c r="B20" s="46" t="s">
        <v>89</v>
      </c>
      <c r="C20" s="152">
        <v>527</v>
      </c>
      <c r="D20" s="153">
        <v>303</v>
      </c>
      <c r="E20" s="153">
        <v>296</v>
      </c>
      <c r="F20" s="153">
        <v>1156</v>
      </c>
      <c r="G20" s="153">
        <v>5627</v>
      </c>
      <c r="H20" s="154">
        <v>861727</v>
      </c>
      <c r="I20" s="155">
        <v>1970</v>
      </c>
      <c r="J20" s="155">
        <v>1745</v>
      </c>
      <c r="K20" s="155">
        <v>5957</v>
      </c>
      <c r="L20" s="155">
        <v>4141</v>
      </c>
      <c r="M20" s="51">
        <v>3.0238578679999999</v>
      </c>
      <c r="N20" s="52">
        <v>0.21242182400000001</v>
      </c>
      <c r="O20" s="51">
        <v>39.132784960000002</v>
      </c>
      <c r="P20" s="52">
        <v>1.006229E-2</v>
      </c>
      <c r="Q20" s="111">
        <v>2.5235585000000001E-2</v>
      </c>
      <c r="R20" s="144">
        <v>1610001841.0464118</v>
      </c>
    </row>
    <row r="21" spans="2:21">
      <c r="B21" s="53" t="s">
        <v>90</v>
      </c>
      <c r="C21" s="152">
        <v>495</v>
      </c>
      <c r="D21" s="153">
        <v>184</v>
      </c>
      <c r="E21" s="153">
        <v>147</v>
      </c>
      <c r="F21" s="153">
        <v>656</v>
      </c>
      <c r="G21" s="153">
        <v>1675</v>
      </c>
      <c r="H21" s="154">
        <v>679294</v>
      </c>
      <c r="I21" s="155">
        <v>744</v>
      </c>
      <c r="J21" s="155">
        <v>609</v>
      </c>
      <c r="K21" s="155">
        <v>2169</v>
      </c>
      <c r="L21" s="155">
        <v>1173</v>
      </c>
      <c r="M21" s="54">
        <v>2.9153225809999999</v>
      </c>
      <c r="N21" s="52">
        <v>9.6086788000000006E-2</v>
      </c>
      <c r="O21" s="54">
        <v>45.645458740000002</v>
      </c>
      <c r="P21" s="52">
        <v>1.250539E-2</v>
      </c>
      <c r="Q21" s="111">
        <v>4.4846917E-2</v>
      </c>
      <c r="R21" s="144">
        <v>232414237.51657337</v>
      </c>
    </row>
    <row r="22" spans="2:21" ht="15.75" thickBot="1">
      <c r="B22" s="53" t="s">
        <v>91</v>
      </c>
      <c r="C22" s="156">
        <v>491</v>
      </c>
      <c r="D22" s="157">
        <v>183</v>
      </c>
      <c r="E22" s="157">
        <v>136</v>
      </c>
      <c r="F22" s="157">
        <v>671</v>
      </c>
      <c r="G22" s="157">
        <v>2457</v>
      </c>
      <c r="H22" s="158">
        <v>661940</v>
      </c>
      <c r="I22" s="159">
        <v>849</v>
      </c>
      <c r="J22" s="159">
        <v>688</v>
      </c>
      <c r="K22" s="159">
        <v>2542</v>
      </c>
      <c r="L22" s="159">
        <v>1455</v>
      </c>
      <c r="M22" s="55">
        <v>2.9941107179999999</v>
      </c>
      <c r="N22" s="52">
        <v>0.121511378</v>
      </c>
      <c r="O22" s="55">
        <v>39.103461840000001</v>
      </c>
      <c r="P22" s="52">
        <v>9.4696969999999991E-3</v>
      </c>
      <c r="Q22" s="111">
        <v>2.2348485000000001E-2</v>
      </c>
      <c r="R22" s="144">
        <v>275042566.99247378</v>
      </c>
    </row>
    <row r="23" spans="2:21">
      <c r="B23" s="56" t="s">
        <v>21</v>
      </c>
      <c r="C23" s="57"/>
      <c r="D23" s="58"/>
      <c r="E23" s="58"/>
      <c r="F23" s="58"/>
      <c r="G23" s="58"/>
      <c r="H23" s="59"/>
      <c r="I23" s="58"/>
      <c r="J23" s="58"/>
      <c r="K23" s="58"/>
      <c r="L23" s="58"/>
      <c r="M23" s="58"/>
      <c r="N23" s="58"/>
      <c r="O23" s="58"/>
      <c r="P23" s="58"/>
      <c r="Q23" s="58"/>
      <c r="R23" s="59"/>
    </row>
    <row r="24" spans="2:21">
      <c r="B24" s="46" t="s">
        <v>88</v>
      </c>
      <c r="C24" s="152">
        <v>609</v>
      </c>
      <c r="D24" s="153">
        <v>260</v>
      </c>
      <c r="E24" s="153">
        <v>442</v>
      </c>
      <c r="F24" s="153">
        <v>1102</v>
      </c>
      <c r="G24" s="153">
        <v>1632</v>
      </c>
      <c r="H24" s="154">
        <v>618279</v>
      </c>
      <c r="I24" s="155">
        <v>508</v>
      </c>
      <c r="J24" s="155">
        <v>448</v>
      </c>
      <c r="K24" s="155">
        <v>1265</v>
      </c>
      <c r="L24" s="155">
        <v>699</v>
      </c>
      <c r="M24" s="51">
        <v>2.4901574800000001</v>
      </c>
      <c r="N24" s="52">
        <v>0.383975813</v>
      </c>
      <c r="O24" s="51">
        <v>179.86245059999999</v>
      </c>
      <c r="P24" s="52">
        <v>0.16346812899999999</v>
      </c>
      <c r="Q24" s="111">
        <v>0.26970527799999999</v>
      </c>
      <c r="R24" s="144">
        <v>332187960.01313996</v>
      </c>
    </row>
    <row r="25" spans="2:21">
      <c r="B25" s="46" t="s">
        <v>89</v>
      </c>
      <c r="C25" s="152">
        <v>447</v>
      </c>
      <c r="D25" s="153">
        <v>178</v>
      </c>
      <c r="E25" s="153">
        <v>200</v>
      </c>
      <c r="F25" s="153">
        <v>868</v>
      </c>
      <c r="G25" s="153">
        <v>801</v>
      </c>
      <c r="H25" s="154">
        <v>535509</v>
      </c>
      <c r="I25" s="155">
        <v>294</v>
      </c>
      <c r="J25" s="155">
        <v>233</v>
      </c>
      <c r="K25" s="155">
        <v>653</v>
      </c>
      <c r="L25" s="155">
        <v>321</v>
      </c>
      <c r="M25" s="51">
        <v>2.221088435</v>
      </c>
      <c r="N25" s="52">
        <v>0.24561403500000001</v>
      </c>
      <c r="O25" s="51">
        <v>187.99540579999999</v>
      </c>
      <c r="P25" s="52">
        <v>0.120197044</v>
      </c>
      <c r="Q25" s="111">
        <v>0.20098522199999999</v>
      </c>
      <c r="R25" s="144">
        <v>92132130.490543693</v>
      </c>
    </row>
    <row r="26" spans="2:21">
      <c r="B26" s="53" t="s">
        <v>90</v>
      </c>
      <c r="C26" s="152">
        <v>332</v>
      </c>
      <c r="D26" s="153">
        <v>131</v>
      </c>
      <c r="E26" s="153">
        <v>125</v>
      </c>
      <c r="F26" s="153">
        <v>714</v>
      </c>
      <c r="G26" s="153">
        <v>683</v>
      </c>
      <c r="H26" s="154">
        <v>315465</v>
      </c>
      <c r="I26" s="155">
        <v>304</v>
      </c>
      <c r="J26" s="155">
        <v>202</v>
      </c>
      <c r="K26" s="155">
        <v>700</v>
      </c>
      <c r="L26" s="155">
        <v>197</v>
      </c>
      <c r="M26" s="54">
        <v>2.3026315789999998</v>
      </c>
      <c r="N26" s="52">
        <v>0.25291181400000001</v>
      </c>
      <c r="O26" s="54">
        <v>104.3857143</v>
      </c>
      <c r="P26" s="52">
        <v>6.4301551999999998E-2</v>
      </c>
      <c r="Q26" s="111">
        <v>0.134146341</v>
      </c>
      <c r="R26" s="144">
        <v>51258605.007015005</v>
      </c>
    </row>
    <row r="27" spans="2:21" ht="15.75" thickBot="1">
      <c r="B27" s="53" t="s">
        <v>91</v>
      </c>
      <c r="C27" s="156">
        <v>506</v>
      </c>
      <c r="D27" s="157">
        <v>155</v>
      </c>
      <c r="E27" s="157">
        <v>232</v>
      </c>
      <c r="F27" s="157">
        <v>1146</v>
      </c>
      <c r="G27" s="157">
        <v>2183</v>
      </c>
      <c r="H27" s="158">
        <v>432804</v>
      </c>
      <c r="I27" s="159">
        <v>792</v>
      </c>
      <c r="J27" s="159">
        <v>426</v>
      </c>
      <c r="K27" s="159">
        <v>2184</v>
      </c>
      <c r="L27" s="159">
        <v>410</v>
      </c>
      <c r="M27" s="55">
        <v>2.7575757580000002</v>
      </c>
      <c r="N27" s="52">
        <v>0.45283018899999999</v>
      </c>
      <c r="O27" s="55">
        <v>60.061813190000002</v>
      </c>
      <c r="P27" s="52">
        <v>5.3053435000000003E-2</v>
      </c>
      <c r="Q27" s="111">
        <v>9.3511449999999996E-2</v>
      </c>
      <c r="R27" s="144">
        <v>250019550.01326576</v>
      </c>
    </row>
    <row r="28" spans="2:21">
      <c r="B28" s="70" t="s">
        <v>26</v>
      </c>
      <c r="C28" s="57"/>
      <c r="D28" s="58"/>
      <c r="E28" s="58"/>
      <c r="F28" s="58"/>
      <c r="G28" s="58"/>
      <c r="H28" s="59"/>
      <c r="I28" s="58"/>
      <c r="J28" s="58"/>
      <c r="K28" s="58"/>
      <c r="L28" s="58"/>
      <c r="M28" s="58"/>
      <c r="N28" s="58"/>
      <c r="O28" s="58"/>
      <c r="P28" s="58"/>
      <c r="Q28" s="58"/>
      <c r="R28" s="59"/>
      <c r="T28" s="17"/>
      <c r="U28" s="17"/>
    </row>
    <row r="29" spans="2:21">
      <c r="B29" s="46" t="s">
        <v>88</v>
      </c>
      <c r="C29" s="152">
        <v>878</v>
      </c>
      <c r="D29" s="153">
        <v>258</v>
      </c>
      <c r="E29" s="153">
        <v>544</v>
      </c>
      <c r="F29" s="153">
        <v>937</v>
      </c>
      <c r="G29" s="153">
        <v>1595</v>
      </c>
      <c r="H29" s="154">
        <v>563104</v>
      </c>
      <c r="I29" s="155">
        <v>746</v>
      </c>
      <c r="J29" s="155">
        <v>502</v>
      </c>
      <c r="K29" s="155">
        <v>2473</v>
      </c>
      <c r="L29" s="155">
        <v>808</v>
      </c>
      <c r="M29" s="51">
        <v>3.3150134050000002</v>
      </c>
      <c r="N29" s="52">
        <v>0.39057591600000002</v>
      </c>
      <c r="O29" s="51">
        <v>50.012131009999997</v>
      </c>
      <c r="P29" s="52">
        <v>1.1111111E-2</v>
      </c>
      <c r="Q29" s="111">
        <v>3.4482759000000002E-2</v>
      </c>
      <c r="R29" s="144">
        <v>280073359.97221458</v>
      </c>
    </row>
    <row r="30" spans="2:21">
      <c r="B30" s="46" t="s">
        <v>89</v>
      </c>
      <c r="C30" s="152">
        <v>994</v>
      </c>
      <c r="D30" s="153">
        <v>244</v>
      </c>
      <c r="E30" s="153">
        <v>572</v>
      </c>
      <c r="F30" s="153">
        <v>1303</v>
      </c>
      <c r="G30" s="153">
        <v>1481</v>
      </c>
      <c r="H30" s="154">
        <v>683381</v>
      </c>
      <c r="I30" s="155">
        <v>890</v>
      </c>
      <c r="J30" s="155">
        <v>553</v>
      </c>
      <c r="K30" s="155">
        <v>2921</v>
      </c>
      <c r="L30" s="155">
        <v>880</v>
      </c>
      <c r="M30" s="51">
        <v>3.282022472</v>
      </c>
      <c r="N30" s="52">
        <v>0.39000876400000001</v>
      </c>
      <c r="O30" s="51">
        <v>53.896268399999997</v>
      </c>
      <c r="P30" s="52">
        <v>7.6335880000000002E-3</v>
      </c>
      <c r="Q30" s="111">
        <v>1.2612015000000001E-2</v>
      </c>
      <c r="R30" s="144">
        <v>412784081.99056083</v>
      </c>
    </row>
    <row r="31" spans="2:21">
      <c r="B31" s="53" t="s">
        <v>90</v>
      </c>
      <c r="C31" s="152">
        <v>1205</v>
      </c>
      <c r="D31" s="153">
        <v>369</v>
      </c>
      <c r="E31" s="153">
        <v>757</v>
      </c>
      <c r="F31" s="153">
        <v>1326</v>
      </c>
      <c r="G31" s="153">
        <v>1898</v>
      </c>
      <c r="H31" s="154">
        <v>604846</v>
      </c>
      <c r="I31" s="155">
        <v>1171</v>
      </c>
      <c r="J31" s="155">
        <v>656</v>
      </c>
      <c r="K31" s="155">
        <v>4167</v>
      </c>
      <c r="L31" s="155">
        <v>1046</v>
      </c>
      <c r="M31" s="54">
        <v>3.558497011</v>
      </c>
      <c r="N31" s="52">
        <v>0.45777951500000003</v>
      </c>
      <c r="O31" s="54">
        <v>46.600431970000002</v>
      </c>
      <c r="P31" s="52">
        <v>3.9878020000000004E-3</v>
      </c>
      <c r="Q31" s="111">
        <v>1.4309172E-2</v>
      </c>
      <c r="R31" s="144">
        <v>683527680.06684482</v>
      </c>
    </row>
    <row r="32" spans="2:21" ht="15.75" thickBot="1">
      <c r="B32" s="53" t="s">
        <v>91</v>
      </c>
      <c r="C32" s="156">
        <v>1258</v>
      </c>
      <c r="D32" s="157">
        <v>381</v>
      </c>
      <c r="E32" s="157">
        <v>799</v>
      </c>
      <c r="F32" s="157">
        <v>1434</v>
      </c>
      <c r="G32" s="157">
        <v>2398</v>
      </c>
      <c r="H32" s="158">
        <v>618601</v>
      </c>
      <c r="I32" s="159">
        <v>1003</v>
      </c>
      <c r="J32" s="159">
        <v>730</v>
      </c>
      <c r="K32" s="159">
        <v>3439</v>
      </c>
      <c r="L32" s="159">
        <v>1183</v>
      </c>
      <c r="M32" s="55">
        <v>3.4287138580000001</v>
      </c>
      <c r="N32" s="52">
        <v>0.43028743000000003</v>
      </c>
      <c r="O32" s="55">
        <v>53.440825820000001</v>
      </c>
      <c r="P32" s="52">
        <v>2.8514399999999998E-3</v>
      </c>
      <c r="Q32" s="111">
        <v>9.9800400000000008E-3</v>
      </c>
      <c r="R32" s="144">
        <v>583970482.48404896</v>
      </c>
    </row>
    <row r="33" spans="2:18">
      <c r="B33" s="70" t="s">
        <v>19</v>
      </c>
      <c r="C33" s="57"/>
      <c r="D33" s="58"/>
      <c r="E33" s="58"/>
      <c r="F33" s="58"/>
      <c r="G33" s="58"/>
      <c r="H33" s="59"/>
      <c r="I33" s="58"/>
      <c r="J33" s="58"/>
      <c r="K33" s="58"/>
      <c r="L33" s="58"/>
      <c r="M33" s="58"/>
      <c r="N33" s="58"/>
      <c r="O33" s="58"/>
      <c r="P33" s="58"/>
      <c r="Q33" s="58"/>
      <c r="R33" s="59"/>
    </row>
    <row r="34" spans="2:18">
      <c r="B34" s="46" t="s">
        <v>88</v>
      </c>
      <c r="C34" s="152">
        <v>151</v>
      </c>
      <c r="D34" s="153">
        <v>64</v>
      </c>
      <c r="E34" s="153">
        <v>62</v>
      </c>
      <c r="F34" s="153">
        <v>388</v>
      </c>
      <c r="G34" s="153">
        <v>2311</v>
      </c>
      <c r="H34" s="154">
        <v>353726</v>
      </c>
      <c r="I34" s="155">
        <v>794</v>
      </c>
      <c r="J34" s="155">
        <v>131</v>
      </c>
      <c r="K34" s="155">
        <v>2483</v>
      </c>
      <c r="L34" s="155">
        <v>100</v>
      </c>
      <c r="M34" s="51">
        <v>3.1272040300000001</v>
      </c>
      <c r="N34" s="52">
        <v>0.51760104299999998</v>
      </c>
      <c r="O34" s="51">
        <v>60.108336690000002</v>
      </c>
      <c r="P34" s="52">
        <v>8.7857848000000002E-2</v>
      </c>
      <c r="Q34" s="111">
        <v>8.9832181999999997E-2</v>
      </c>
      <c r="R34" s="144">
        <v>261782746.00222757</v>
      </c>
    </row>
    <row r="35" spans="2:18">
      <c r="B35" s="46" t="s">
        <v>89</v>
      </c>
      <c r="C35" s="152">
        <v>92</v>
      </c>
      <c r="D35" s="153">
        <v>37</v>
      </c>
      <c r="E35" s="153">
        <v>27</v>
      </c>
      <c r="F35" s="153">
        <v>280</v>
      </c>
      <c r="G35" s="153">
        <v>1683</v>
      </c>
      <c r="H35" s="154">
        <v>245069</v>
      </c>
      <c r="I35" s="155">
        <v>830</v>
      </c>
      <c r="J35" s="155">
        <v>112</v>
      </c>
      <c r="K35" s="155">
        <v>2647</v>
      </c>
      <c r="L35" s="155">
        <v>76</v>
      </c>
      <c r="M35" s="51">
        <v>3.189156627</v>
      </c>
      <c r="N35" s="52">
        <v>0.50951504000000003</v>
      </c>
      <c r="O35" s="51">
        <v>27.171137139999999</v>
      </c>
      <c r="P35" s="52">
        <v>1.2039401999999999E-2</v>
      </c>
      <c r="Q35" s="111">
        <v>1.6782195999999999E-2</v>
      </c>
      <c r="R35" s="144">
        <v>131797065.01755534</v>
      </c>
    </row>
    <row r="36" spans="2:18">
      <c r="B36" s="53" t="s">
        <v>90</v>
      </c>
      <c r="C36" s="152">
        <v>140</v>
      </c>
      <c r="D36" s="153">
        <v>59</v>
      </c>
      <c r="E36" s="153">
        <v>47</v>
      </c>
      <c r="F36" s="153">
        <v>435</v>
      </c>
      <c r="G36" s="153">
        <v>3275</v>
      </c>
      <c r="H36" s="154">
        <v>261403</v>
      </c>
      <c r="I36" s="155">
        <v>932</v>
      </c>
      <c r="J36" s="155">
        <v>174</v>
      </c>
      <c r="K36" s="155">
        <v>2741</v>
      </c>
      <c r="L36" s="155">
        <v>109</v>
      </c>
      <c r="M36" s="54">
        <v>2.9409871239999998</v>
      </c>
      <c r="N36" s="52">
        <v>0.52924474700000002</v>
      </c>
      <c r="O36" s="54">
        <v>27.23786939</v>
      </c>
      <c r="P36" s="52">
        <v>5.3304900000000002E-3</v>
      </c>
      <c r="Q36" s="111">
        <v>1.6346836999999999E-2</v>
      </c>
      <c r="R36" s="144">
        <v>147675501.99602422</v>
      </c>
    </row>
    <row r="37" spans="2:18" ht="16.5" customHeight="1" thickBot="1">
      <c r="B37" s="53" t="s">
        <v>91</v>
      </c>
      <c r="C37" s="156">
        <v>121</v>
      </c>
      <c r="D37" s="157">
        <v>38</v>
      </c>
      <c r="E37" s="157">
        <v>23</v>
      </c>
      <c r="F37" s="157">
        <v>405</v>
      </c>
      <c r="G37" s="157">
        <v>3472</v>
      </c>
      <c r="H37" s="158">
        <v>238147</v>
      </c>
      <c r="I37" s="159">
        <v>875</v>
      </c>
      <c r="J37" s="159">
        <v>147</v>
      </c>
      <c r="K37" s="159">
        <v>2756</v>
      </c>
      <c r="L37" s="159">
        <v>107</v>
      </c>
      <c r="M37" s="55">
        <v>3.149714286</v>
      </c>
      <c r="N37" s="52">
        <v>0.52052349799999997</v>
      </c>
      <c r="O37" s="55">
        <v>26.674165460000001</v>
      </c>
      <c r="P37" s="52">
        <v>2.0491802999999999E-2</v>
      </c>
      <c r="Q37" s="111">
        <v>3.5519125999999998E-2</v>
      </c>
      <c r="R37" s="144">
        <v>142800945.01507381</v>
      </c>
    </row>
    <row r="38" spans="2:18">
      <c r="B38" s="70" t="s">
        <v>72</v>
      </c>
      <c r="C38" s="57"/>
      <c r="D38" s="58"/>
      <c r="E38" s="58"/>
      <c r="F38" s="58"/>
      <c r="G38" s="58"/>
      <c r="H38" s="59"/>
      <c r="I38" s="58"/>
      <c r="J38" s="58"/>
      <c r="K38" s="58"/>
      <c r="L38" s="58"/>
      <c r="M38" s="58"/>
      <c r="N38" s="58"/>
      <c r="O38" s="58"/>
      <c r="P38" s="58"/>
      <c r="Q38" s="58"/>
      <c r="R38" s="59"/>
    </row>
    <row r="39" spans="2:18">
      <c r="B39" s="46" t="s">
        <v>88</v>
      </c>
      <c r="C39" s="152">
        <v>711</v>
      </c>
      <c r="D39" s="153">
        <v>153</v>
      </c>
      <c r="E39" s="153">
        <v>184</v>
      </c>
      <c r="F39" s="153">
        <v>945</v>
      </c>
      <c r="G39" s="153">
        <v>900</v>
      </c>
      <c r="H39" s="154">
        <v>772114</v>
      </c>
      <c r="I39" s="155">
        <v>360</v>
      </c>
      <c r="J39" s="155">
        <v>353</v>
      </c>
      <c r="K39" s="155">
        <v>787</v>
      </c>
      <c r="L39" s="155">
        <v>571</v>
      </c>
      <c r="M39" s="51">
        <v>2.1861111110000002</v>
      </c>
      <c r="N39" s="52">
        <v>0.283911672</v>
      </c>
      <c r="O39" s="51">
        <v>192.9174079</v>
      </c>
      <c r="P39" s="52">
        <v>0.13360881499999999</v>
      </c>
      <c r="Q39" s="111">
        <v>0.24242424200000001</v>
      </c>
      <c r="R39" s="144">
        <v>157215823.01791415</v>
      </c>
    </row>
    <row r="40" spans="2:18">
      <c r="B40" s="46" t="s">
        <v>89</v>
      </c>
      <c r="C40" s="152">
        <v>903</v>
      </c>
      <c r="D40" s="153">
        <v>250</v>
      </c>
      <c r="E40" s="153">
        <v>217</v>
      </c>
      <c r="F40" s="153">
        <v>1178</v>
      </c>
      <c r="G40" s="153">
        <v>1144</v>
      </c>
      <c r="H40" s="154">
        <v>913972</v>
      </c>
      <c r="I40" s="155">
        <v>409</v>
      </c>
      <c r="J40" s="155">
        <v>390</v>
      </c>
      <c r="K40" s="155">
        <v>932</v>
      </c>
      <c r="L40" s="155">
        <v>704</v>
      </c>
      <c r="M40" s="51">
        <v>2.278728606</v>
      </c>
      <c r="N40" s="52">
        <v>0.27785326100000002</v>
      </c>
      <c r="O40" s="51">
        <v>154.78862659999999</v>
      </c>
      <c r="P40" s="52">
        <v>0.12515188299999999</v>
      </c>
      <c r="Q40" s="111">
        <v>0.24483596599999999</v>
      </c>
      <c r="R40" s="144">
        <v>175640202.48928598</v>
      </c>
    </row>
    <row r="41" spans="2:18" ht="16.5" customHeight="1">
      <c r="B41" s="53" t="s">
        <v>90</v>
      </c>
      <c r="C41" s="152">
        <v>1006</v>
      </c>
      <c r="D41" s="153">
        <v>284</v>
      </c>
      <c r="E41" s="153">
        <v>273</v>
      </c>
      <c r="F41" s="153">
        <v>1808</v>
      </c>
      <c r="G41" s="153">
        <v>2299</v>
      </c>
      <c r="H41" s="154">
        <v>940512</v>
      </c>
      <c r="I41" s="155">
        <v>764</v>
      </c>
      <c r="J41" s="155">
        <v>707</v>
      </c>
      <c r="K41" s="155">
        <v>2003</v>
      </c>
      <c r="L41" s="155">
        <v>1440</v>
      </c>
      <c r="M41" s="54">
        <v>2.6217277490000002</v>
      </c>
      <c r="N41" s="52">
        <v>0.35684259699999998</v>
      </c>
      <c r="O41" s="54">
        <v>135.79830250000001</v>
      </c>
      <c r="P41" s="52">
        <v>6.7961165000000004E-2</v>
      </c>
      <c r="Q41" s="111">
        <v>0.20120522299999999</v>
      </c>
      <c r="R41" s="144">
        <v>668313827.77272749</v>
      </c>
    </row>
    <row r="42" spans="2:18" ht="15.75" thickBot="1">
      <c r="B42" s="53" t="s">
        <v>91</v>
      </c>
      <c r="C42" s="156">
        <v>914</v>
      </c>
      <c r="D42" s="157">
        <v>244</v>
      </c>
      <c r="E42" s="157">
        <v>348</v>
      </c>
      <c r="F42" s="157">
        <v>1998</v>
      </c>
      <c r="G42" s="157">
        <v>3214</v>
      </c>
      <c r="H42" s="158">
        <v>986272</v>
      </c>
      <c r="I42" s="159">
        <v>969</v>
      </c>
      <c r="J42" s="159">
        <v>893</v>
      </c>
      <c r="K42" s="159">
        <v>2537</v>
      </c>
      <c r="L42" s="159">
        <v>1821</v>
      </c>
      <c r="M42" s="55">
        <v>2.6181630550000001</v>
      </c>
      <c r="N42" s="52">
        <v>0.38837675399999999</v>
      </c>
      <c r="O42" s="55">
        <v>126.7627119</v>
      </c>
      <c r="P42" s="52">
        <v>7.2851021000000002E-2</v>
      </c>
      <c r="Q42" s="111">
        <v>0.22611545199999999</v>
      </c>
      <c r="R42" s="144">
        <v>1000166670.280833</v>
      </c>
    </row>
    <row r="43" spans="2:18">
      <c r="B43" s="70" t="s">
        <v>22</v>
      </c>
      <c r="C43" s="57"/>
      <c r="D43" s="58"/>
      <c r="E43" s="58"/>
      <c r="F43" s="58"/>
      <c r="G43" s="58"/>
      <c r="H43" s="59"/>
      <c r="I43" s="58"/>
      <c r="J43" s="58"/>
      <c r="K43" s="58"/>
      <c r="L43" s="58"/>
      <c r="M43" s="58"/>
      <c r="N43" s="58"/>
      <c r="O43" s="58"/>
      <c r="P43" s="58"/>
      <c r="Q43" s="58"/>
      <c r="R43" s="59"/>
    </row>
    <row r="44" spans="2:18">
      <c r="B44" s="46" t="s">
        <v>88</v>
      </c>
      <c r="C44" s="152">
        <v>271</v>
      </c>
      <c r="D44" s="153">
        <v>47</v>
      </c>
      <c r="E44" s="153">
        <v>85</v>
      </c>
      <c r="F44" s="153">
        <v>174</v>
      </c>
      <c r="G44" s="153">
        <v>477</v>
      </c>
      <c r="H44" s="154">
        <v>279811</v>
      </c>
      <c r="I44" s="155">
        <v>186</v>
      </c>
      <c r="J44" s="155">
        <v>98</v>
      </c>
      <c r="K44" s="155">
        <v>523</v>
      </c>
      <c r="L44" s="155">
        <v>145</v>
      </c>
      <c r="M44" s="51">
        <v>2.8118279570000002</v>
      </c>
      <c r="N44" s="52">
        <v>0.340659341</v>
      </c>
      <c r="O44" s="51">
        <v>230.6711281</v>
      </c>
      <c r="P44" s="52">
        <v>4.4094488000000001E-2</v>
      </c>
      <c r="Q44" s="111">
        <v>8.5039370000000003E-2</v>
      </c>
      <c r="R44" s="144">
        <v>57425115.998238802</v>
      </c>
    </row>
    <row r="45" spans="2:18">
      <c r="B45" s="46" t="s">
        <v>89</v>
      </c>
      <c r="C45" s="152">
        <v>219</v>
      </c>
      <c r="D45" s="153">
        <v>46</v>
      </c>
      <c r="E45" s="153">
        <v>82</v>
      </c>
      <c r="F45" s="153">
        <v>173</v>
      </c>
      <c r="G45" s="153">
        <v>519</v>
      </c>
      <c r="H45" s="154">
        <v>243536</v>
      </c>
      <c r="I45" s="155">
        <v>178</v>
      </c>
      <c r="J45" s="155">
        <v>60</v>
      </c>
      <c r="K45" s="155">
        <v>583</v>
      </c>
      <c r="L45" s="155">
        <v>107</v>
      </c>
      <c r="M45" s="51">
        <v>3.2752808990000002</v>
      </c>
      <c r="N45" s="52">
        <v>0.29865771800000002</v>
      </c>
      <c r="O45" s="51">
        <v>162.30874789999999</v>
      </c>
      <c r="P45" s="52">
        <v>3.3773862000000002E-2</v>
      </c>
      <c r="Q45" s="111">
        <v>7.1953009999999998E-2</v>
      </c>
      <c r="R45" s="144">
        <v>43906464.011924796</v>
      </c>
    </row>
    <row r="46" spans="2:18">
      <c r="B46" s="53" t="s">
        <v>90</v>
      </c>
      <c r="C46" s="152">
        <v>238</v>
      </c>
      <c r="D46" s="153">
        <v>43</v>
      </c>
      <c r="E46" s="153">
        <v>118</v>
      </c>
      <c r="F46" s="153">
        <v>184</v>
      </c>
      <c r="G46" s="153">
        <v>800</v>
      </c>
      <c r="H46" s="154">
        <v>233933</v>
      </c>
      <c r="I46" s="155">
        <v>236</v>
      </c>
      <c r="J46" s="155">
        <v>83</v>
      </c>
      <c r="K46" s="155">
        <v>813</v>
      </c>
      <c r="L46" s="155">
        <v>139</v>
      </c>
      <c r="M46" s="54">
        <v>3.4449152540000001</v>
      </c>
      <c r="N46" s="52">
        <v>0.34604105600000001</v>
      </c>
      <c r="O46" s="54">
        <v>106.58794589999999</v>
      </c>
      <c r="P46" s="52">
        <v>2.1468926999999999E-2</v>
      </c>
      <c r="Q46" s="111">
        <v>4.519774E-2</v>
      </c>
      <c r="R46" s="144">
        <v>55069888.010612845</v>
      </c>
    </row>
    <row r="47" spans="2:18" ht="15.75" thickBot="1">
      <c r="B47" s="53" t="s">
        <v>91</v>
      </c>
      <c r="C47" s="156">
        <v>193</v>
      </c>
      <c r="D47" s="157">
        <v>28</v>
      </c>
      <c r="E47" s="157">
        <v>82</v>
      </c>
      <c r="F47" s="157">
        <v>153</v>
      </c>
      <c r="G47" s="157">
        <v>671</v>
      </c>
      <c r="H47" s="158">
        <v>230455</v>
      </c>
      <c r="I47" s="159">
        <v>292</v>
      </c>
      <c r="J47" s="159">
        <v>101</v>
      </c>
      <c r="K47" s="159">
        <v>999</v>
      </c>
      <c r="L47" s="159">
        <v>152</v>
      </c>
      <c r="M47" s="55">
        <v>3.421232877</v>
      </c>
      <c r="N47" s="52">
        <v>0.33796296300000001</v>
      </c>
      <c r="O47" s="55">
        <v>98.039039040000006</v>
      </c>
      <c r="P47" s="52">
        <v>1.9553073000000001E-2</v>
      </c>
      <c r="Q47" s="111">
        <v>3.7243947999999999E-2</v>
      </c>
      <c r="R47" s="144">
        <v>75610452.000741124</v>
      </c>
    </row>
    <row r="48" spans="2:18">
      <c r="B48" s="70" t="s">
        <v>20</v>
      </c>
      <c r="C48" s="57"/>
      <c r="D48" s="58"/>
      <c r="E48" s="58"/>
      <c r="F48" s="58"/>
      <c r="G48" s="58"/>
      <c r="H48" s="59"/>
      <c r="I48" s="58"/>
      <c r="J48" s="58"/>
      <c r="K48" s="58"/>
      <c r="L48" s="58"/>
      <c r="M48" s="58"/>
      <c r="N48" s="58"/>
      <c r="O48" s="58"/>
      <c r="P48" s="58"/>
      <c r="Q48" s="58"/>
      <c r="R48" s="59"/>
    </row>
    <row r="49" spans="2:21">
      <c r="B49" s="46" t="s">
        <v>88</v>
      </c>
      <c r="C49" s="152">
        <v>183</v>
      </c>
      <c r="D49" s="153">
        <v>96</v>
      </c>
      <c r="E49" s="153">
        <v>46</v>
      </c>
      <c r="F49" s="153">
        <v>800</v>
      </c>
      <c r="G49" s="153">
        <v>1534</v>
      </c>
      <c r="H49" s="154">
        <v>195643</v>
      </c>
      <c r="I49" s="155">
        <v>275</v>
      </c>
      <c r="J49" s="155">
        <v>131</v>
      </c>
      <c r="K49" s="155">
        <v>787</v>
      </c>
      <c r="L49" s="155">
        <v>123</v>
      </c>
      <c r="M49" s="51">
        <v>2.8618181819999999</v>
      </c>
      <c r="N49" s="52">
        <v>0.32699167699999998</v>
      </c>
      <c r="O49" s="51">
        <v>66.168996190000001</v>
      </c>
      <c r="P49" s="52">
        <v>4.2483659999999999E-2</v>
      </c>
      <c r="Q49" s="111">
        <v>7.7342047999999997E-2</v>
      </c>
      <c r="R49" s="144">
        <v>34265350.001006745</v>
      </c>
    </row>
    <row r="50" spans="2:21">
      <c r="B50" s="46" t="s">
        <v>89</v>
      </c>
      <c r="C50" s="152">
        <v>170</v>
      </c>
      <c r="D50" s="153">
        <v>62</v>
      </c>
      <c r="E50" s="153">
        <v>66</v>
      </c>
      <c r="F50" s="153">
        <v>456</v>
      </c>
      <c r="G50" s="153">
        <v>705</v>
      </c>
      <c r="H50" s="154">
        <v>241994</v>
      </c>
      <c r="I50" s="155">
        <v>294</v>
      </c>
      <c r="J50" s="155">
        <v>155</v>
      </c>
      <c r="K50" s="155">
        <v>801</v>
      </c>
      <c r="L50" s="155">
        <v>185</v>
      </c>
      <c r="M50" s="51">
        <v>2.7244897959999999</v>
      </c>
      <c r="N50" s="52">
        <v>0.29969419000000003</v>
      </c>
      <c r="O50" s="51">
        <v>76.204744070000004</v>
      </c>
      <c r="P50" s="52">
        <v>3.8947368000000003E-2</v>
      </c>
      <c r="Q50" s="111">
        <v>8.6315789000000004E-2</v>
      </c>
      <c r="R50" s="144">
        <v>43796200.000050224</v>
      </c>
    </row>
    <row r="51" spans="2:21">
      <c r="B51" s="53" t="s">
        <v>90</v>
      </c>
      <c r="C51" s="152">
        <v>409</v>
      </c>
      <c r="D51" s="153">
        <v>100</v>
      </c>
      <c r="E51" s="153">
        <v>175</v>
      </c>
      <c r="F51" s="153">
        <v>501</v>
      </c>
      <c r="G51" s="153">
        <v>928</v>
      </c>
      <c r="H51" s="154">
        <v>183810</v>
      </c>
      <c r="I51" s="155">
        <v>319</v>
      </c>
      <c r="J51" s="155">
        <v>181</v>
      </c>
      <c r="K51" s="155">
        <v>951</v>
      </c>
      <c r="L51" s="155">
        <v>272</v>
      </c>
      <c r="M51" s="51">
        <v>2.9811912230000002</v>
      </c>
      <c r="N51" s="52">
        <v>0.32352941200000002</v>
      </c>
      <c r="O51" s="51">
        <v>43.018927439999999</v>
      </c>
      <c r="P51" s="52">
        <v>2.5471698000000001E-2</v>
      </c>
      <c r="Q51" s="111">
        <v>5.3773584999999999E-2</v>
      </c>
      <c r="R51" s="144">
        <v>35244826.496071555</v>
      </c>
    </row>
    <row r="52" spans="2:21" ht="15.75" thickBot="1">
      <c r="B52" s="91" t="s">
        <v>91</v>
      </c>
      <c r="C52" s="156">
        <v>275</v>
      </c>
      <c r="D52" s="157">
        <v>94</v>
      </c>
      <c r="E52" s="157">
        <v>141</v>
      </c>
      <c r="F52" s="157">
        <v>583</v>
      </c>
      <c r="G52" s="157">
        <v>1554</v>
      </c>
      <c r="H52" s="158">
        <v>234683</v>
      </c>
      <c r="I52" s="159">
        <v>673</v>
      </c>
      <c r="J52" s="159">
        <v>376</v>
      </c>
      <c r="K52" s="159">
        <v>2187</v>
      </c>
      <c r="L52" s="159">
        <v>413</v>
      </c>
      <c r="M52" s="55">
        <v>3.2496285290000002</v>
      </c>
      <c r="N52" s="93">
        <v>0.51374045800000001</v>
      </c>
      <c r="O52" s="55">
        <v>36.101966160000003</v>
      </c>
      <c r="P52" s="93">
        <v>1.6941973999999999E-2</v>
      </c>
      <c r="Q52" s="112">
        <v>3.4731046000000002E-2</v>
      </c>
      <c r="R52" s="144">
        <v>144053397.48525804</v>
      </c>
    </row>
    <row r="54" spans="2:21">
      <c r="B54" s="187" t="s">
        <v>28</v>
      </c>
      <c r="C54" s="188"/>
      <c r="D54" s="189" t="s">
        <v>29</v>
      </c>
      <c r="E54" s="190"/>
      <c r="F54" s="190"/>
      <c r="G54" s="191"/>
      <c r="H54" s="18"/>
      <c r="I54" s="18"/>
      <c r="J54" s="18"/>
    </row>
    <row r="55" spans="2:21">
      <c r="B55" s="187" t="s">
        <v>30</v>
      </c>
      <c r="C55" s="188"/>
      <c r="D55" s="189" t="s">
        <v>31</v>
      </c>
      <c r="E55" s="190"/>
      <c r="F55" s="190"/>
      <c r="G55" s="191"/>
      <c r="H55" s="18"/>
      <c r="I55" s="18"/>
      <c r="J55" s="18"/>
    </row>
    <row r="57" spans="2:21" ht="15.75" thickBot="1"/>
    <row r="58" spans="2:21" ht="27.75" customHeight="1">
      <c r="B58" s="196" t="s">
        <v>28</v>
      </c>
      <c r="C58" s="197"/>
      <c r="D58" s="203" t="s">
        <v>32</v>
      </c>
      <c r="E58" s="206"/>
      <c r="F58" s="227" t="s">
        <v>33</v>
      </c>
      <c r="G58" s="228"/>
      <c r="H58" s="228"/>
      <c r="I58" s="228"/>
      <c r="J58" s="228"/>
      <c r="K58" s="228"/>
      <c r="L58" s="228"/>
      <c r="M58" s="228"/>
      <c r="N58" s="228"/>
      <c r="O58" s="228"/>
      <c r="P58" s="228"/>
      <c r="Q58" s="229"/>
      <c r="R58" s="230"/>
      <c r="T58" s="17"/>
      <c r="U58" s="17"/>
    </row>
    <row r="59" spans="2:21" ht="27.75" customHeight="1">
      <c r="B59" s="198"/>
      <c r="C59" s="199"/>
      <c r="D59" s="205" t="s">
        <v>5</v>
      </c>
      <c r="E59" s="207"/>
      <c r="F59" s="213" t="s">
        <v>34</v>
      </c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5"/>
      <c r="R59" s="216"/>
    </row>
    <row r="60" spans="2:21" ht="27.75" customHeight="1">
      <c r="B60" s="198"/>
      <c r="C60" s="199"/>
      <c r="D60" s="205" t="s">
        <v>6</v>
      </c>
      <c r="E60" s="207"/>
      <c r="F60" s="213" t="s">
        <v>35</v>
      </c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5"/>
      <c r="R60" s="216"/>
    </row>
    <row r="61" spans="2:21" ht="27.75" customHeight="1">
      <c r="B61" s="198"/>
      <c r="C61" s="199"/>
      <c r="D61" s="205" t="s">
        <v>36</v>
      </c>
      <c r="E61" s="207"/>
      <c r="F61" s="213" t="s">
        <v>37</v>
      </c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5"/>
      <c r="R61" s="216"/>
    </row>
    <row r="62" spans="2:21" ht="27.75" customHeight="1">
      <c r="B62" s="198"/>
      <c r="C62" s="199"/>
      <c r="D62" s="205" t="s">
        <v>38</v>
      </c>
      <c r="E62" s="207"/>
      <c r="F62" s="213" t="s">
        <v>39</v>
      </c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5"/>
      <c r="R62" s="216"/>
    </row>
    <row r="63" spans="2:21" ht="27.75" customHeight="1" thickBot="1">
      <c r="B63" s="198"/>
      <c r="C63" s="199"/>
      <c r="D63" s="295" t="s">
        <v>9</v>
      </c>
      <c r="E63" s="296"/>
      <c r="F63" s="231" t="s">
        <v>40</v>
      </c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3"/>
      <c r="R63" s="234"/>
    </row>
    <row r="64" spans="2:21" ht="27.75" customHeight="1">
      <c r="B64" s="196" t="s">
        <v>30</v>
      </c>
      <c r="C64" s="279"/>
      <c r="D64" s="202" t="s">
        <v>10</v>
      </c>
      <c r="E64" s="297"/>
      <c r="F64" s="298" t="s">
        <v>41</v>
      </c>
      <c r="G64" s="228"/>
      <c r="H64" s="228"/>
      <c r="I64" s="228"/>
      <c r="J64" s="228"/>
      <c r="K64" s="228"/>
      <c r="L64" s="228"/>
      <c r="M64" s="228"/>
      <c r="N64" s="228"/>
      <c r="O64" s="228"/>
      <c r="P64" s="228"/>
      <c r="Q64" s="228"/>
      <c r="R64" s="230"/>
    </row>
    <row r="65" spans="2:21" ht="27.75" customHeight="1">
      <c r="B65" s="198"/>
      <c r="C65" s="280"/>
      <c r="D65" s="204" t="s">
        <v>75</v>
      </c>
      <c r="E65" s="274"/>
      <c r="F65" s="276" t="s">
        <v>92</v>
      </c>
      <c r="G65" s="277"/>
      <c r="H65" s="277"/>
      <c r="I65" s="277"/>
      <c r="J65" s="277"/>
      <c r="K65" s="277"/>
      <c r="L65" s="277"/>
      <c r="M65" s="277"/>
      <c r="N65" s="277"/>
      <c r="O65" s="277"/>
      <c r="P65" s="277"/>
      <c r="Q65" s="277"/>
      <c r="R65" s="278"/>
    </row>
    <row r="66" spans="2:21" ht="27.75" customHeight="1">
      <c r="B66" s="198"/>
      <c r="C66" s="280"/>
      <c r="D66" s="204" t="s">
        <v>11</v>
      </c>
      <c r="E66" s="274"/>
      <c r="F66" s="275" t="s">
        <v>93</v>
      </c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6"/>
    </row>
    <row r="67" spans="2:21" ht="27.75" customHeight="1">
      <c r="B67" s="198"/>
      <c r="C67" s="280"/>
      <c r="D67" s="205" t="s">
        <v>76</v>
      </c>
      <c r="E67" s="282"/>
      <c r="F67" s="292" t="s">
        <v>94</v>
      </c>
      <c r="G67" s="293"/>
      <c r="H67" s="293"/>
      <c r="I67" s="293"/>
      <c r="J67" s="293"/>
      <c r="K67" s="293"/>
      <c r="L67" s="293"/>
      <c r="M67" s="293"/>
      <c r="N67" s="293"/>
      <c r="O67" s="293"/>
      <c r="P67" s="293"/>
      <c r="Q67" s="293"/>
      <c r="R67" s="294"/>
    </row>
    <row r="68" spans="2:21" ht="27.75" customHeight="1">
      <c r="B68" s="198"/>
      <c r="C68" s="280"/>
      <c r="D68" s="204" t="s">
        <v>12</v>
      </c>
      <c r="E68" s="274"/>
      <c r="F68" s="275" t="s">
        <v>43</v>
      </c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6"/>
      <c r="T68" s="17"/>
      <c r="U68" s="17"/>
    </row>
    <row r="69" spans="2:21" ht="27.75" customHeight="1">
      <c r="B69" s="198"/>
      <c r="C69" s="280"/>
      <c r="D69" s="204" t="s">
        <v>13</v>
      </c>
      <c r="E69" s="274"/>
      <c r="F69" s="275" t="s">
        <v>44</v>
      </c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6"/>
    </row>
    <row r="70" spans="2:21" ht="48" customHeight="1">
      <c r="B70" s="198"/>
      <c r="C70" s="280"/>
      <c r="D70" s="204" t="s">
        <v>45</v>
      </c>
      <c r="E70" s="274"/>
      <c r="F70" s="275" t="s">
        <v>46</v>
      </c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6"/>
    </row>
    <row r="71" spans="2:21" ht="19.5" customHeight="1">
      <c r="B71" s="198"/>
      <c r="C71" s="280"/>
      <c r="D71" s="204" t="s">
        <v>47</v>
      </c>
      <c r="E71" s="274"/>
      <c r="F71" s="275" t="s">
        <v>48</v>
      </c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6"/>
    </row>
    <row r="72" spans="2:21" ht="31.5" customHeight="1">
      <c r="B72" s="198"/>
      <c r="C72" s="280"/>
      <c r="D72" s="204" t="s">
        <v>15</v>
      </c>
      <c r="E72" s="274"/>
      <c r="F72" s="275" t="s">
        <v>49</v>
      </c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6"/>
    </row>
    <row r="73" spans="2:21" ht="19.5" customHeight="1">
      <c r="B73" s="198"/>
      <c r="C73" s="280"/>
      <c r="D73" s="204" t="s">
        <v>16</v>
      </c>
      <c r="E73" s="274"/>
      <c r="F73" s="275" t="s">
        <v>50</v>
      </c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6"/>
    </row>
    <row r="74" spans="2:21" ht="19.5" customHeight="1">
      <c r="B74" s="198"/>
      <c r="C74" s="280"/>
      <c r="D74" s="205" t="s">
        <v>74</v>
      </c>
      <c r="E74" s="282"/>
      <c r="F74" s="284" t="s">
        <v>95</v>
      </c>
      <c r="G74" s="285"/>
      <c r="H74" s="285"/>
      <c r="I74" s="285"/>
      <c r="J74" s="285"/>
      <c r="K74" s="285"/>
      <c r="L74" s="285"/>
      <c r="M74" s="285"/>
      <c r="N74" s="285"/>
      <c r="O74" s="285"/>
      <c r="P74" s="285"/>
      <c r="Q74" s="285"/>
      <c r="R74" s="286"/>
    </row>
    <row r="75" spans="2:21" ht="19.5" customHeight="1" thickBot="1">
      <c r="B75" s="200"/>
      <c r="C75" s="281"/>
      <c r="D75" s="194" t="s">
        <v>73</v>
      </c>
      <c r="E75" s="283"/>
      <c r="F75" s="287" t="s">
        <v>96</v>
      </c>
      <c r="G75" s="288"/>
      <c r="H75" s="288"/>
      <c r="I75" s="288"/>
      <c r="J75" s="288"/>
      <c r="K75" s="288"/>
      <c r="L75" s="288"/>
      <c r="M75" s="288"/>
      <c r="N75" s="288"/>
      <c r="O75" s="288"/>
      <c r="P75" s="288"/>
      <c r="Q75" s="288"/>
      <c r="R75" s="289"/>
    </row>
    <row r="77" spans="2:21" ht="16.5" customHeight="1"/>
    <row r="81" ht="16.5" customHeight="1"/>
    <row r="108" ht="30" customHeight="1"/>
    <row r="113" spans="2:18" s="19" customFormat="1" ht="27.75" customHeight="1">
      <c r="B113" s="143"/>
      <c r="C113" s="143"/>
      <c r="D113" s="143"/>
      <c r="E113" s="143"/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</row>
    <row r="114" spans="2:18" s="19" customFormat="1" ht="27.75" customHeight="1">
      <c r="B114" s="143"/>
      <c r="C114" s="143"/>
      <c r="D114" s="143"/>
      <c r="E114" s="143"/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</row>
    <row r="115" spans="2:18" s="19" customFormat="1" ht="27.75" customHeight="1">
      <c r="B115" s="143"/>
      <c r="C115" s="143"/>
      <c r="D115" s="143"/>
      <c r="E115" s="143"/>
      <c r="F115" s="143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</row>
    <row r="116" spans="2:18" s="19" customFormat="1" ht="27.75" customHeight="1">
      <c r="B116" s="143"/>
      <c r="C116" s="143"/>
      <c r="D116" s="143"/>
      <c r="E116" s="143"/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</row>
    <row r="117" spans="2:18" s="19" customFormat="1" ht="27.75" customHeight="1">
      <c r="B117" s="143"/>
      <c r="C117" s="143"/>
      <c r="D117" s="143"/>
      <c r="E117" s="143"/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</row>
    <row r="118" spans="2:18" s="19" customFormat="1" ht="27.75" customHeight="1">
      <c r="B118" s="143"/>
      <c r="C118" s="143"/>
      <c r="D118" s="143"/>
      <c r="E118" s="143"/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</row>
    <row r="119" spans="2:18" s="19" customFormat="1" ht="27.75" customHeight="1">
      <c r="B119" s="143"/>
      <c r="C119" s="143"/>
      <c r="D119" s="143"/>
      <c r="E119" s="143"/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</row>
    <row r="120" spans="2:18" s="19" customFormat="1" ht="27.75" customHeight="1">
      <c r="B120" s="143"/>
      <c r="C120" s="143"/>
      <c r="D120" s="143"/>
      <c r="E120" s="143"/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</row>
    <row r="121" spans="2:18" s="19" customFormat="1" ht="27.75" customHeight="1">
      <c r="B121" s="143"/>
      <c r="C121" s="143"/>
      <c r="D121" s="143"/>
      <c r="E121" s="143"/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</row>
    <row r="122" spans="2:18" s="19" customFormat="1" ht="27.75" customHeight="1">
      <c r="B122" s="143"/>
      <c r="C122" s="143"/>
      <c r="D122" s="143"/>
      <c r="E122" s="143"/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</row>
    <row r="123" spans="2:18" s="19" customFormat="1" ht="27.75" customHeight="1">
      <c r="B123" s="143"/>
      <c r="C123" s="143"/>
      <c r="D123" s="143"/>
      <c r="E123" s="143"/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</row>
    <row r="124" spans="2:18" s="19" customFormat="1" ht="27.75" customHeight="1">
      <c r="B124" s="143"/>
      <c r="C124" s="143"/>
      <c r="D124" s="143"/>
      <c r="E124" s="143"/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</row>
    <row r="125" spans="2:18" s="19" customFormat="1" ht="41.25" customHeight="1">
      <c r="B125" s="143"/>
      <c r="C125" s="143"/>
      <c r="D125" s="143"/>
      <c r="E125" s="143"/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</row>
    <row r="126" spans="2:18" s="19" customFormat="1" ht="27.75" customHeight="1">
      <c r="B126" s="143"/>
      <c r="C126" s="143"/>
      <c r="D126" s="143"/>
      <c r="E126" s="143"/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</row>
    <row r="127" spans="2:18" s="19" customFormat="1" ht="25.5" customHeight="1">
      <c r="B127" s="143"/>
      <c r="C127" s="143"/>
      <c r="D127" s="143"/>
      <c r="E127" s="143"/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</row>
  </sheetData>
  <mergeCells count="45">
    <mergeCell ref="B64:C75"/>
    <mergeCell ref="D72:E72"/>
    <mergeCell ref="F72:R72"/>
    <mergeCell ref="D73:E73"/>
    <mergeCell ref="F73:R73"/>
    <mergeCell ref="D74:E74"/>
    <mergeCell ref="F74:R74"/>
    <mergeCell ref="D75:E75"/>
    <mergeCell ref="F75:R75"/>
    <mergeCell ref="D66:E66"/>
    <mergeCell ref="F66:R66"/>
    <mergeCell ref="D65:E65"/>
    <mergeCell ref="F65:R65"/>
    <mergeCell ref="D70:E70"/>
    <mergeCell ref="F70:R70"/>
    <mergeCell ref="D71:E71"/>
    <mergeCell ref="B55:C55"/>
    <mergeCell ref="D55:G55"/>
    <mergeCell ref="F62:R62"/>
    <mergeCell ref="B58:C63"/>
    <mergeCell ref="D58:E58"/>
    <mergeCell ref="F58:R58"/>
    <mergeCell ref="D59:E59"/>
    <mergeCell ref="F60:R60"/>
    <mergeCell ref="D61:E61"/>
    <mergeCell ref="F61:R61"/>
    <mergeCell ref="D62:E62"/>
    <mergeCell ref="F59:R59"/>
    <mergeCell ref="D60:E60"/>
    <mergeCell ref="D63:E63"/>
    <mergeCell ref="F63:R63"/>
    <mergeCell ref="B2:R2"/>
    <mergeCell ref="C6:H6"/>
    <mergeCell ref="I6:R6"/>
    <mergeCell ref="B54:C54"/>
    <mergeCell ref="D54:G54"/>
    <mergeCell ref="D64:E64"/>
    <mergeCell ref="F64:R64"/>
    <mergeCell ref="F71:R71"/>
    <mergeCell ref="D67:E67"/>
    <mergeCell ref="F67:R67"/>
    <mergeCell ref="D68:E68"/>
    <mergeCell ref="F68:R68"/>
    <mergeCell ref="D69:E69"/>
    <mergeCell ref="F69:R69"/>
  </mergeCells>
  <pageMargins left="0.511811024" right="0.511811024" top="0.78740157499999996" bottom="0.78740157499999996" header="0.31496062000000002" footer="0.31496062000000002"/>
  <pageSetup paperSize="9" scale="32" orientation="landscape" r:id="rId1"/>
  <colBreaks count="1" manualBreakCount="1">
    <brk id="18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/>
  <dimension ref="B1:T168"/>
  <sheetViews>
    <sheetView showGridLines="0" zoomScale="70" zoomScaleNormal="70" workbookViewId="0">
      <selection activeCell="D7" sqref="D7"/>
    </sheetView>
  </sheetViews>
  <sheetFormatPr defaultRowHeight="15"/>
  <cols>
    <col min="1" max="1" width="5.7109375" customWidth="1"/>
    <col min="2" max="2" width="34" bestFit="1" customWidth="1"/>
    <col min="3" max="3" width="11.85546875" customWidth="1"/>
    <col min="4" max="4" width="13.42578125" customWidth="1"/>
    <col min="5" max="5" width="13.5703125" customWidth="1"/>
    <col min="6" max="6" width="12.140625" customWidth="1"/>
    <col min="7" max="7" width="15.7109375" customWidth="1"/>
    <col min="8" max="9" width="11.5703125" customWidth="1"/>
    <col min="10" max="11" width="13.28515625" customWidth="1"/>
    <col min="12" max="12" width="16.7109375" customWidth="1"/>
    <col min="13" max="13" width="12.7109375" customWidth="1"/>
    <col min="14" max="14" width="14.85546875" customWidth="1"/>
    <col min="15" max="16" width="14.42578125" customWidth="1"/>
    <col min="17" max="17" width="14.85546875" customWidth="1"/>
  </cols>
  <sheetData>
    <row r="1" spans="2:20" ht="15.75" thickBot="1"/>
    <row r="2" spans="2:20" s="1" customFormat="1" ht="40.5" customHeight="1" thickBot="1">
      <c r="B2" s="179" t="s">
        <v>77</v>
      </c>
      <c r="C2" s="180"/>
      <c r="D2" s="180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</row>
    <row r="3" spans="2:20" ht="15.75" thickBot="1"/>
    <row r="4" spans="2:20" ht="15.75" thickBot="1">
      <c r="B4" s="2" t="s">
        <v>1</v>
      </c>
      <c r="C4" s="3">
        <f ca="1">TODAY()</f>
        <v>42388</v>
      </c>
      <c r="D4" s="4"/>
      <c r="J4" s="5"/>
      <c r="K4" s="5"/>
      <c r="L4" s="5"/>
      <c r="M4" s="5"/>
      <c r="N4" s="5"/>
    </row>
    <row r="5" spans="2:20" ht="15.75" thickBot="1">
      <c r="B5" s="6"/>
      <c r="C5" s="6"/>
      <c r="D5" s="6"/>
      <c r="F5" s="5"/>
      <c r="G5" s="5"/>
      <c r="H5" s="5"/>
      <c r="I5" s="5"/>
      <c r="J5" s="5"/>
      <c r="K5" s="5"/>
      <c r="L5" s="5"/>
      <c r="M5" s="5"/>
      <c r="N5" s="5"/>
    </row>
    <row r="6" spans="2:20" ht="24" thickBot="1">
      <c r="B6" s="7"/>
      <c r="C6" s="182"/>
      <c r="D6" s="183"/>
      <c r="E6" s="183"/>
      <c r="F6" s="183"/>
      <c r="G6" s="184"/>
      <c r="H6" s="185" t="s">
        <v>3</v>
      </c>
      <c r="I6" s="185"/>
      <c r="J6" s="185"/>
      <c r="K6" s="185"/>
      <c r="L6" s="185"/>
      <c r="M6" s="185"/>
      <c r="N6" s="185"/>
      <c r="O6" s="185"/>
      <c r="P6" s="185"/>
      <c r="Q6" s="186"/>
    </row>
    <row r="7" spans="2:20" ht="60" customHeight="1" thickBot="1">
      <c r="B7" s="84"/>
      <c r="C7" s="9" t="s">
        <v>5</v>
      </c>
      <c r="D7" s="11" t="s">
        <v>103</v>
      </c>
      <c r="E7" s="12" t="s">
        <v>7</v>
      </c>
      <c r="F7" s="12" t="s">
        <v>8</v>
      </c>
      <c r="G7" s="13" t="s">
        <v>9</v>
      </c>
      <c r="H7" s="10" t="s">
        <v>10</v>
      </c>
      <c r="I7" s="10" t="s">
        <v>75</v>
      </c>
      <c r="J7" s="12" t="s">
        <v>11</v>
      </c>
      <c r="K7" s="12" t="s">
        <v>76</v>
      </c>
      <c r="L7" s="12" t="s">
        <v>12</v>
      </c>
      <c r="M7" s="12" t="s">
        <v>13</v>
      </c>
      <c r="N7" s="12" t="s">
        <v>14</v>
      </c>
      <c r="O7" s="12" t="s">
        <v>15</v>
      </c>
      <c r="P7" s="13" t="s">
        <v>16</v>
      </c>
      <c r="Q7" s="13" t="s">
        <v>73</v>
      </c>
    </row>
    <row r="8" spans="2:20">
      <c r="B8" s="130" t="str">
        <f>L157</f>
        <v>Rawalpindi - Islamabad</v>
      </c>
      <c r="C8" s="57"/>
      <c r="D8" s="58"/>
      <c r="E8" s="58"/>
      <c r="F8" s="58"/>
      <c r="G8" s="59"/>
      <c r="H8" s="58"/>
      <c r="I8" s="58"/>
      <c r="J8" s="58"/>
      <c r="K8" s="58"/>
      <c r="L8" s="58"/>
      <c r="M8" s="58"/>
      <c r="N8" s="58"/>
      <c r="O8" s="58"/>
      <c r="P8" s="58"/>
      <c r="Q8" s="59"/>
    </row>
    <row r="9" spans="2:20" s="128" customFormat="1">
      <c r="B9" s="131">
        <f ca="1">DATE(YEAR(NOW()),MONTH(NOW())-1,15)</f>
        <v>42353</v>
      </c>
      <c r="C9" s="60">
        <v>19</v>
      </c>
      <c r="D9" s="61">
        <v>15</v>
      </c>
      <c r="E9" s="62">
        <v>26</v>
      </c>
      <c r="F9" s="62">
        <v>63</v>
      </c>
      <c r="G9" s="63">
        <v>32370</v>
      </c>
      <c r="H9" s="64">
        <v>40</v>
      </c>
      <c r="I9" s="64">
        <v>10</v>
      </c>
      <c r="J9" s="61">
        <v>86</v>
      </c>
      <c r="K9" s="61">
        <v>14</v>
      </c>
      <c r="L9" s="51">
        <v>2.15</v>
      </c>
      <c r="M9" s="134">
        <v>9.9255582999999994E-2</v>
      </c>
      <c r="N9" s="134">
        <v>0.147906977</v>
      </c>
      <c r="O9" s="134">
        <v>0</v>
      </c>
      <c r="P9" s="134">
        <v>0</v>
      </c>
      <c r="Q9" s="132">
        <f>(((H9+I9)+(J9+K9))/2)*(N9*J9)</f>
        <v>954.00000164999994</v>
      </c>
    </row>
    <row r="10" spans="2:20" s="128" customFormat="1">
      <c r="B10" s="131">
        <f ca="1">DATE(YEAR(NOW()),MONTH(NOW())-2,15)</f>
        <v>42323</v>
      </c>
      <c r="C10" s="60">
        <v>15</v>
      </c>
      <c r="D10" s="61">
        <v>2</v>
      </c>
      <c r="E10" s="62">
        <v>24</v>
      </c>
      <c r="F10" s="62">
        <v>2</v>
      </c>
      <c r="G10" s="63">
        <v>22225</v>
      </c>
      <c r="H10" s="64">
        <v>2</v>
      </c>
      <c r="I10" s="64">
        <v>2</v>
      </c>
      <c r="J10" s="61">
        <v>5</v>
      </c>
      <c r="K10" s="61">
        <v>3</v>
      </c>
      <c r="L10" s="51">
        <v>2.5</v>
      </c>
      <c r="M10" s="134">
        <v>9.0090090000000001E-3</v>
      </c>
      <c r="N10" s="134">
        <v>0.20200000000000001</v>
      </c>
      <c r="O10" s="134">
        <v>0</v>
      </c>
      <c r="P10" s="134">
        <v>0</v>
      </c>
      <c r="Q10" s="132">
        <f t="shared" ref="Q10:Q18" si="0">(((H10+I10)+(J10+K10))/2)*(N10*J10)</f>
        <v>6.0600000000000005</v>
      </c>
    </row>
    <row r="11" spans="2:20" s="128" customFormat="1">
      <c r="B11" s="131">
        <f ca="1">DATE(YEAR(NOW()),MONTH(NOW())-3,15)</f>
        <v>42292</v>
      </c>
      <c r="C11" s="60">
        <v>16</v>
      </c>
      <c r="D11" s="61">
        <v>9</v>
      </c>
      <c r="E11" s="62">
        <v>22</v>
      </c>
      <c r="F11" s="62">
        <v>21</v>
      </c>
      <c r="G11" s="63">
        <v>26139</v>
      </c>
      <c r="H11" s="64">
        <v>89</v>
      </c>
      <c r="I11" s="64">
        <v>8</v>
      </c>
      <c r="J11" s="61">
        <v>118</v>
      </c>
      <c r="K11" s="61">
        <v>9</v>
      </c>
      <c r="L11" s="51">
        <v>1.3258426969999999</v>
      </c>
      <c r="M11" s="134">
        <v>0.14858096800000001</v>
      </c>
      <c r="N11" s="134">
        <v>0.20516949200000001</v>
      </c>
      <c r="O11" s="134">
        <v>3.125E-2</v>
      </c>
      <c r="P11" s="134">
        <v>4.6875E-2</v>
      </c>
      <c r="Q11" s="132">
        <f t="shared" si="0"/>
        <v>2711.520006272</v>
      </c>
    </row>
    <row r="12" spans="2:20" s="128" customFormat="1">
      <c r="B12" s="131">
        <f ca="1">DATE(YEAR(NOW()),MONTH(NOW())-4,15)</f>
        <v>42262</v>
      </c>
      <c r="C12" s="60">
        <v>30</v>
      </c>
      <c r="D12" s="61">
        <v>24</v>
      </c>
      <c r="E12" s="62">
        <v>40</v>
      </c>
      <c r="F12" s="62">
        <v>365</v>
      </c>
      <c r="G12" s="63">
        <v>38530</v>
      </c>
      <c r="H12" s="64">
        <v>274</v>
      </c>
      <c r="I12" s="64">
        <v>26</v>
      </c>
      <c r="J12" s="61">
        <v>297</v>
      </c>
      <c r="K12" s="61">
        <v>25</v>
      </c>
      <c r="L12" s="51">
        <v>1.083941606</v>
      </c>
      <c r="M12" s="134">
        <v>0.24247787600000001</v>
      </c>
      <c r="N12" s="134">
        <v>0.20447811399999999</v>
      </c>
      <c r="O12" s="134">
        <v>0</v>
      </c>
      <c r="P12" s="134">
        <v>0</v>
      </c>
      <c r="Q12" s="132">
        <f t="shared" si="0"/>
        <v>18887.029955837999</v>
      </c>
    </row>
    <row r="13" spans="2:20" s="128" customFormat="1">
      <c r="B13" s="131">
        <f ca="1">DATE(YEAR(NOW()),MONTH(NOW())-5,15)</f>
        <v>42231</v>
      </c>
      <c r="C13" s="60">
        <v>13</v>
      </c>
      <c r="D13" s="61">
        <v>2</v>
      </c>
      <c r="E13" s="62">
        <v>16</v>
      </c>
      <c r="F13" s="62">
        <v>17</v>
      </c>
      <c r="G13" s="63">
        <v>64579</v>
      </c>
      <c r="H13" s="64">
        <v>29</v>
      </c>
      <c r="I13" s="64">
        <v>3</v>
      </c>
      <c r="J13" s="61">
        <v>29</v>
      </c>
      <c r="K13" s="61">
        <v>3</v>
      </c>
      <c r="L13" s="51">
        <v>1</v>
      </c>
      <c r="M13" s="134">
        <v>2.0908435E-2</v>
      </c>
      <c r="N13" s="134">
        <v>0.22206896600000001</v>
      </c>
      <c r="O13" s="134">
        <v>0</v>
      </c>
      <c r="P13" s="134">
        <v>0</v>
      </c>
      <c r="Q13" s="132">
        <f t="shared" si="0"/>
        <v>206.08000044799999</v>
      </c>
    </row>
    <row r="14" spans="2:20" s="128" customFormat="1">
      <c r="B14" s="131">
        <f ca="1">DATE(YEAR(NOW()),MONTH(NOW())-6,15)</f>
        <v>42200</v>
      </c>
      <c r="C14" s="60">
        <v>35</v>
      </c>
      <c r="D14" s="61">
        <v>13</v>
      </c>
      <c r="E14" s="62">
        <v>45</v>
      </c>
      <c r="F14" s="62">
        <v>19</v>
      </c>
      <c r="G14" s="63">
        <v>78911</v>
      </c>
      <c r="H14" s="64">
        <v>186</v>
      </c>
      <c r="I14" s="64">
        <v>14</v>
      </c>
      <c r="J14" s="61">
        <v>236</v>
      </c>
      <c r="K14" s="61">
        <v>14</v>
      </c>
      <c r="L14" s="51">
        <v>1.2688172040000001</v>
      </c>
      <c r="M14" s="134">
        <v>0.115456238</v>
      </c>
      <c r="N14" s="134">
        <v>0.202161017</v>
      </c>
      <c r="O14" s="134">
        <v>0</v>
      </c>
      <c r="P14" s="134">
        <v>8.4033609999999998E-3</v>
      </c>
      <c r="Q14" s="132">
        <f t="shared" si="0"/>
        <v>10734.750002700001</v>
      </c>
    </row>
    <row r="15" spans="2:20">
      <c r="B15" s="131">
        <f ca="1">DATE(YEAR(NOW()),MONTH(NOW())-7,15)</f>
        <v>42170</v>
      </c>
      <c r="C15" s="60">
        <v>39</v>
      </c>
      <c r="D15" s="61">
        <v>35</v>
      </c>
      <c r="E15" s="62">
        <v>48</v>
      </c>
      <c r="F15" s="62">
        <v>415</v>
      </c>
      <c r="G15" s="63">
        <v>46503</v>
      </c>
      <c r="H15" s="64">
        <v>137</v>
      </c>
      <c r="I15" s="64">
        <v>32</v>
      </c>
      <c r="J15" s="61">
        <v>193</v>
      </c>
      <c r="K15" s="61">
        <v>39</v>
      </c>
      <c r="L15" s="51">
        <v>1.4087591239999999</v>
      </c>
      <c r="M15" s="134">
        <v>0.175416133</v>
      </c>
      <c r="N15" s="134">
        <v>0.18917098399999999</v>
      </c>
      <c r="O15" s="134">
        <v>0</v>
      </c>
      <c r="P15" s="134">
        <v>0</v>
      </c>
      <c r="Q15" s="132">
        <f t="shared" si="0"/>
        <v>7320.2549823559993</v>
      </c>
    </row>
    <row r="16" spans="2:20" s="128" customFormat="1">
      <c r="B16" s="131">
        <f ca="1">DATE(YEAR(NOW()),MONTH(NOW())-8,15)</f>
        <v>42139</v>
      </c>
      <c r="C16" s="60">
        <v>24</v>
      </c>
      <c r="D16" s="61">
        <v>7</v>
      </c>
      <c r="E16" s="62">
        <v>32</v>
      </c>
      <c r="F16" s="62">
        <v>29</v>
      </c>
      <c r="G16" s="63">
        <v>40413</v>
      </c>
      <c r="H16" s="64">
        <v>25</v>
      </c>
      <c r="I16" s="64">
        <v>5</v>
      </c>
      <c r="J16" s="61">
        <v>25</v>
      </c>
      <c r="K16" s="100">
        <v>5</v>
      </c>
      <c r="L16" s="54">
        <v>1</v>
      </c>
      <c r="M16" s="134">
        <v>4.7258979E-2</v>
      </c>
      <c r="N16" s="135">
        <v>0.2104</v>
      </c>
      <c r="O16" s="134">
        <v>6.8965517000000004E-2</v>
      </c>
      <c r="P16" s="134">
        <v>6.8965517000000004E-2</v>
      </c>
      <c r="Q16" s="132">
        <f t="shared" si="0"/>
        <v>157.79999999999998</v>
      </c>
      <c r="R16" s="133"/>
      <c r="S16" s="133"/>
      <c r="T16" s="133"/>
    </row>
    <row r="17" spans="2:20">
      <c r="B17" s="131">
        <f ca="1">DATE(YEAR(NOW()),MONTH(NOW())-9,15)</f>
        <v>42109</v>
      </c>
      <c r="C17" s="60">
        <v>9</v>
      </c>
      <c r="D17" s="61"/>
      <c r="E17" s="62">
        <v>10</v>
      </c>
      <c r="F17" s="62"/>
      <c r="G17" s="63">
        <v>45620</v>
      </c>
      <c r="H17" s="64"/>
      <c r="I17" s="64"/>
      <c r="J17" s="65"/>
      <c r="K17" s="99"/>
      <c r="L17" s="54"/>
      <c r="M17" s="134">
        <v>0</v>
      </c>
      <c r="N17" s="135">
        <v>0</v>
      </c>
      <c r="O17" s="134">
        <v>0</v>
      </c>
      <c r="P17" s="134">
        <v>0</v>
      </c>
      <c r="Q17" s="132">
        <f t="shared" si="0"/>
        <v>0</v>
      </c>
      <c r="R17" s="133"/>
      <c r="S17" s="133"/>
      <c r="T17" s="133"/>
    </row>
    <row r="18" spans="2:20" ht="15.75" thickBot="1">
      <c r="B18" s="131">
        <f ca="1">DATE(YEAR(NOW()),MONTH(NOW())-10,15)</f>
        <v>42078</v>
      </c>
      <c r="C18" s="60">
        <v>25</v>
      </c>
      <c r="D18" s="61">
        <v>8</v>
      </c>
      <c r="E18" s="62">
        <v>36</v>
      </c>
      <c r="F18" s="62">
        <v>10</v>
      </c>
      <c r="G18" s="63">
        <v>58800</v>
      </c>
      <c r="H18" s="66">
        <v>10</v>
      </c>
      <c r="I18" s="66">
        <v>7</v>
      </c>
      <c r="J18" s="67">
        <v>42</v>
      </c>
      <c r="K18" s="67">
        <v>9</v>
      </c>
      <c r="L18" s="55">
        <v>4.2</v>
      </c>
      <c r="M18" s="134">
        <v>1.7301038000000001E-2</v>
      </c>
      <c r="N18" s="136">
        <v>0.22595238100000001</v>
      </c>
      <c r="O18" s="134">
        <v>0</v>
      </c>
      <c r="P18" s="134">
        <v>0</v>
      </c>
      <c r="Q18" s="132">
        <f t="shared" si="0"/>
        <v>322.66000006799999</v>
      </c>
      <c r="R18" s="133"/>
      <c r="S18" s="133"/>
      <c r="T18" s="133"/>
    </row>
    <row r="19" spans="2:20">
      <c r="B19" s="130" t="str">
        <f>L158</f>
        <v>Raiwind - Lahore</v>
      </c>
      <c r="C19" s="57"/>
      <c r="D19" s="58"/>
      <c r="E19" s="58"/>
      <c r="F19" s="58"/>
      <c r="G19" s="59"/>
      <c r="H19" s="58"/>
      <c r="I19" s="58"/>
      <c r="J19" s="58"/>
      <c r="K19" s="58"/>
      <c r="L19" s="58"/>
      <c r="M19" s="58"/>
      <c r="N19" s="58"/>
      <c r="O19" s="58"/>
      <c r="P19" s="58"/>
      <c r="Q19" s="59"/>
      <c r="R19" s="133"/>
      <c r="S19" s="17"/>
      <c r="T19" s="17"/>
    </row>
    <row r="20" spans="2:20" s="128" customFormat="1">
      <c r="B20" s="131">
        <f ca="1">DATE(YEAR(NOW()),MONTH(NOW())-1,15)</f>
        <v>42353</v>
      </c>
      <c r="C20" s="60">
        <v>2</v>
      </c>
      <c r="D20" s="61">
        <v>12</v>
      </c>
      <c r="E20" s="61">
        <v>2</v>
      </c>
      <c r="F20" s="61">
        <v>26</v>
      </c>
      <c r="G20" s="63">
        <v>2704</v>
      </c>
      <c r="H20" s="64">
        <v>19</v>
      </c>
      <c r="I20" s="64">
        <v>5</v>
      </c>
      <c r="J20" s="61">
        <v>68</v>
      </c>
      <c r="K20" s="61">
        <v>12</v>
      </c>
      <c r="L20" s="51">
        <v>3.5789473680000001</v>
      </c>
      <c r="M20" s="134">
        <v>0.86363636399999999</v>
      </c>
      <c r="N20" s="134">
        <v>0.29926470599999999</v>
      </c>
      <c r="O20" s="134">
        <v>0</v>
      </c>
      <c r="P20" s="134">
        <v>0</v>
      </c>
      <c r="Q20" s="132">
        <f t="shared" ref="Q20:Q29" si="1">(((H20+I20)+(J20+K20))/2)*(N20*J20)</f>
        <v>1058.200000416</v>
      </c>
      <c r="R20" s="133"/>
      <c r="S20" s="133"/>
      <c r="T20" s="133"/>
    </row>
    <row r="21" spans="2:20" s="128" customFormat="1">
      <c r="B21" s="131">
        <f ca="1">DATE(YEAR(NOW()),MONTH(NOW())-2,15)</f>
        <v>42323</v>
      </c>
      <c r="C21" s="60"/>
      <c r="D21" s="61"/>
      <c r="E21" s="61"/>
      <c r="F21" s="61"/>
      <c r="G21" s="63"/>
      <c r="H21" s="64"/>
      <c r="I21" s="64"/>
      <c r="J21" s="61"/>
      <c r="K21" s="61"/>
      <c r="L21" s="51"/>
      <c r="M21" s="134">
        <v>0</v>
      </c>
      <c r="N21" s="134">
        <v>0</v>
      </c>
      <c r="O21" s="134">
        <v>0</v>
      </c>
      <c r="P21" s="134">
        <v>0</v>
      </c>
      <c r="Q21" s="132">
        <f t="shared" si="1"/>
        <v>0</v>
      </c>
      <c r="R21" s="133"/>
      <c r="S21" s="133"/>
      <c r="T21" s="133"/>
    </row>
    <row r="22" spans="2:20" s="128" customFormat="1">
      <c r="B22" s="131">
        <f ca="1">DATE(YEAR(NOW()),MONTH(NOW())-3,15)</f>
        <v>42292</v>
      </c>
      <c r="C22" s="60">
        <v>3</v>
      </c>
      <c r="D22" s="61">
        <v>1</v>
      </c>
      <c r="E22" s="61">
        <v>3</v>
      </c>
      <c r="F22" s="61">
        <v>1</v>
      </c>
      <c r="G22" s="63">
        <v>1069</v>
      </c>
      <c r="H22" s="64">
        <v>1</v>
      </c>
      <c r="I22" s="64">
        <v>1</v>
      </c>
      <c r="J22" s="61">
        <v>1</v>
      </c>
      <c r="K22" s="61">
        <v>1</v>
      </c>
      <c r="L22" s="51">
        <v>1</v>
      </c>
      <c r="M22" s="134">
        <v>0.1</v>
      </c>
      <c r="N22" s="134">
        <v>0.33</v>
      </c>
      <c r="O22" s="134">
        <v>0</v>
      </c>
      <c r="P22" s="134">
        <v>0</v>
      </c>
      <c r="Q22" s="132">
        <f t="shared" si="1"/>
        <v>0.66</v>
      </c>
      <c r="R22" s="133"/>
      <c r="S22" s="133"/>
      <c r="T22" s="133"/>
    </row>
    <row r="23" spans="2:20" s="128" customFormat="1">
      <c r="B23" s="131">
        <f ca="1">DATE(YEAR(NOW()),MONTH(NOW())-4,15)</f>
        <v>42262</v>
      </c>
      <c r="C23" s="60"/>
      <c r="D23" s="61"/>
      <c r="E23" s="61"/>
      <c r="F23" s="61"/>
      <c r="G23" s="63"/>
      <c r="H23" s="64"/>
      <c r="I23" s="64"/>
      <c r="J23" s="61"/>
      <c r="K23" s="61"/>
      <c r="L23" s="51"/>
      <c r="M23" s="134">
        <v>0</v>
      </c>
      <c r="N23" s="134">
        <v>0</v>
      </c>
      <c r="O23" s="134">
        <v>0</v>
      </c>
      <c r="P23" s="134">
        <v>0</v>
      </c>
      <c r="Q23" s="132">
        <f t="shared" si="1"/>
        <v>0</v>
      </c>
      <c r="R23" s="133"/>
      <c r="S23" s="133"/>
      <c r="T23" s="133"/>
    </row>
    <row r="24" spans="2:20" s="128" customFormat="1">
      <c r="B24" s="131">
        <f ca="1">DATE(YEAR(NOW()),MONTH(NOW())-5,15)</f>
        <v>42231</v>
      </c>
      <c r="C24" s="60"/>
      <c r="D24" s="61"/>
      <c r="E24" s="61"/>
      <c r="F24" s="61"/>
      <c r="G24" s="63"/>
      <c r="H24" s="64"/>
      <c r="I24" s="64"/>
      <c r="J24" s="61"/>
      <c r="K24" s="61"/>
      <c r="L24" s="51"/>
      <c r="M24" s="134">
        <v>0</v>
      </c>
      <c r="N24" s="134">
        <v>0</v>
      </c>
      <c r="O24" s="134">
        <v>0</v>
      </c>
      <c r="P24" s="134">
        <v>0</v>
      </c>
      <c r="Q24" s="132">
        <f t="shared" si="1"/>
        <v>0</v>
      </c>
      <c r="R24" s="133"/>
      <c r="S24" s="133"/>
      <c r="T24" s="133"/>
    </row>
    <row r="25" spans="2:20" s="128" customFormat="1">
      <c r="B25" s="131">
        <f ca="1">DATE(YEAR(NOW()),MONTH(NOW())-6,15)</f>
        <v>42200</v>
      </c>
      <c r="C25" s="60"/>
      <c r="D25" s="61"/>
      <c r="E25" s="61"/>
      <c r="F25" s="61"/>
      <c r="G25" s="63"/>
      <c r="H25" s="64"/>
      <c r="I25" s="64"/>
      <c r="J25" s="61"/>
      <c r="K25" s="61"/>
      <c r="L25" s="51"/>
      <c r="M25" s="134">
        <v>0</v>
      </c>
      <c r="N25" s="134">
        <v>0</v>
      </c>
      <c r="O25" s="134">
        <v>0</v>
      </c>
      <c r="P25" s="134">
        <v>0</v>
      </c>
      <c r="Q25" s="132">
        <f t="shared" si="1"/>
        <v>0</v>
      </c>
      <c r="R25" s="133"/>
      <c r="S25" s="133"/>
      <c r="T25" s="133"/>
    </row>
    <row r="26" spans="2:20" s="128" customFormat="1">
      <c r="B26" s="131">
        <f ca="1">DATE(YEAR(NOW()),MONTH(NOW())-7,15)</f>
        <v>42170</v>
      </c>
      <c r="C26" s="60"/>
      <c r="D26" s="61"/>
      <c r="E26" s="61"/>
      <c r="F26" s="61"/>
      <c r="G26" s="63"/>
      <c r="H26" s="64"/>
      <c r="I26" s="64"/>
      <c r="J26" s="61"/>
      <c r="K26" s="61"/>
      <c r="L26" s="51"/>
      <c r="M26" s="134">
        <v>0</v>
      </c>
      <c r="N26" s="134">
        <v>0</v>
      </c>
      <c r="O26" s="134">
        <v>0</v>
      </c>
      <c r="P26" s="134">
        <v>0</v>
      </c>
      <c r="Q26" s="132">
        <f t="shared" si="1"/>
        <v>0</v>
      </c>
      <c r="R26" s="133"/>
      <c r="S26" s="133"/>
      <c r="T26" s="133"/>
    </row>
    <row r="27" spans="2:20">
      <c r="B27" s="131">
        <f ca="1">DATE(YEAR(NOW()),MONTH(NOW())-8,15)</f>
        <v>42139</v>
      </c>
      <c r="C27" s="60"/>
      <c r="D27" s="61"/>
      <c r="E27" s="61"/>
      <c r="F27" s="61"/>
      <c r="G27" s="63"/>
      <c r="H27" s="64"/>
      <c r="I27" s="64"/>
      <c r="J27" s="61"/>
      <c r="K27" s="61"/>
      <c r="L27" s="51"/>
      <c r="M27" s="134">
        <v>0</v>
      </c>
      <c r="N27" s="135">
        <v>0</v>
      </c>
      <c r="O27" s="134">
        <v>0</v>
      </c>
      <c r="P27" s="134">
        <v>0</v>
      </c>
      <c r="Q27" s="132">
        <f t="shared" si="1"/>
        <v>0</v>
      </c>
      <c r="R27" s="133"/>
      <c r="S27" s="133"/>
      <c r="T27" s="133"/>
    </row>
    <row r="28" spans="2:20">
      <c r="B28" s="131">
        <f ca="1">DATE(YEAR(NOW()),MONTH(NOW())-9,15)</f>
        <v>42109</v>
      </c>
      <c r="C28" s="60"/>
      <c r="D28" s="61"/>
      <c r="E28" s="61"/>
      <c r="F28" s="61"/>
      <c r="G28" s="63"/>
      <c r="H28" s="64"/>
      <c r="I28" s="64"/>
      <c r="J28" s="61"/>
      <c r="K28" s="100"/>
      <c r="L28" s="54"/>
      <c r="M28" s="134">
        <v>0</v>
      </c>
      <c r="N28" s="135">
        <v>0</v>
      </c>
      <c r="O28" s="134">
        <v>0</v>
      </c>
      <c r="P28" s="134">
        <v>0</v>
      </c>
      <c r="Q28" s="132">
        <f t="shared" si="1"/>
        <v>0</v>
      </c>
      <c r="R28" s="133"/>
      <c r="S28" s="133"/>
      <c r="T28" s="133"/>
    </row>
    <row r="29" spans="2:20" ht="15.75" thickBot="1">
      <c r="B29" s="131">
        <f ca="1">DATE(YEAR(NOW()),MONTH(NOW())-10,15)</f>
        <v>42078</v>
      </c>
      <c r="C29" s="68"/>
      <c r="D29" s="67"/>
      <c r="E29" s="67"/>
      <c r="F29" s="67"/>
      <c r="G29" s="69"/>
      <c r="H29" s="66"/>
      <c r="I29" s="66"/>
      <c r="J29" s="67"/>
      <c r="K29" s="67"/>
      <c r="L29" s="55"/>
      <c r="M29" s="134">
        <v>0</v>
      </c>
      <c r="N29" s="136">
        <v>0</v>
      </c>
      <c r="O29" s="134">
        <v>0</v>
      </c>
      <c r="P29" s="134">
        <v>0</v>
      </c>
      <c r="Q29" s="132">
        <f t="shared" si="1"/>
        <v>0</v>
      </c>
      <c r="R29" s="133"/>
      <c r="S29" s="133"/>
      <c r="T29" s="133"/>
    </row>
    <row r="30" spans="2:20">
      <c r="B30" s="130" t="str">
        <f>L159</f>
        <v>Lahore - Lahore</v>
      </c>
      <c r="C30" s="57"/>
      <c r="D30" s="58"/>
      <c r="E30" s="58"/>
      <c r="F30" s="58"/>
      <c r="G30" s="59"/>
      <c r="H30" s="58"/>
      <c r="I30" s="58"/>
      <c r="J30" s="58"/>
      <c r="K30" s="58"/>
      <c r="L30" s="58"/>
      <c r="M30" s="58"/>
      <c r="N30" s="58"/>
      <c r="O30" s="58"/>
      <c r="P30" s="58"/>
      <c r="Q30" s="59"/>
      <c r="R30" s="133"/>
      <c r="S30" s="133"/>
      <c r="T30" s="133"/>
    </row>
    <row r="31" spans="2:20" s="128" customFormat="1">
      <c r="B31" s="131">
        <f ca="1">DATE(YEAR(NOW()),MONTH(NOW())-1,15)</f>
        <v>42353</v>
      </c>
      <c r="C31" s="60">
        <v>160</v>
      </c>
      <c r="D31" s="61">
        <v>239</v>
      </c>
      <c r="E31" s="61">
        <v>538</v>
      </c>
      <c r="F31" s="61">
        <v>2493</v>
      </c>
      <c r="G31" s="63">
        <v>404994</v>
      </c>
      <c r="H31" s="64">
        <v>1301</v>
      </c>
      <c r="I31" s="64">
        <v>557</v>
      </c>
      <c r="J31" s="61">
        <v>4000</v>
      </c>
      <c r="K31" s="61">
        <v>836</v>
      </c>
      <c r="L31" s="51">
        <v>3.0745580320000001</v>
      </c>
      <c r="M31" s="134">
        <v>0.189153824</v>
      </c>
      <c r="N31" s="134">
        <v>0.1095925</v>
      </c>
      <c r="O31" s="134">
        <v>4.112554E-3</v>
      </c>
      <c r="P31" s="134">
        <v>0.12943722899999999</v>
      </c>
      <c r="Q31" s="132">
        <f t="shared" ref="Q31:Q40" si="2">(((H31+I31)+(J31+K31))/2)*(N31*J31)</f>
        <v>1467224.3900000001</v>
      </c>
      <c r="R31" s="133"/>
      <c r="S31" s="133"/>
      <c r="T31" s="133"/>
    </row>
    <row r="32" spans="2:20" s="128" customFormat="1">
      <c r="B32" s="131">
        <f ca="1">DATE(YEAR(NOW()),MONTH(NOW())-2,15)</f>
        <v>42323</v>
      </c>
      <c r="C32" s="60">
        <v>58</v>
      </c>
      <c r="D32" s="61">
        <v>66</v>
      </c>
      <c r="E32" s="61">
        <v>276</v>
      </c>
      <c r="F32" s="61">
        <v>477</v>
      </c>
      <c r="G32" s="63">
        <v>224907</v>
      </c>
      <c r="H32" s="64">
        <v>377</v>
      </c>
      <c r="I32" s="64">
        <v>119</v>
      </c>
      <c r="J32" s="61">
        <v>1223</v>
      </c>
      <c r="K32" s="61">
        <v>155</v>
      </c>
      <c r="L32" s="51">
        <v>3.2440318299999999</v>
      </c>
      <c r="M32" s="134">
        <v>0.10516039100000001</v>
      </c>
      <c r="N32" s="134">
        <v>0.16769419499999999</v>
      </c>
      <c r="O32" s="134">
        <v>8.0000000000000002E-3</v>
      </c>
      <c r="P32" s="134">
        <v>1.12E-2</v>
      </c>
      <c r="Q32" s="132">
        <f t="shared" si="2"/>
        <v>192169.33045444498</v>
      </c>
      <c r="R32" s="133"/>
      <c r="S32" s="133"/>
      <c r="T32" s="133"/>
    </row>
    <row r="33" spans="2:20" s="128" customFormat="1">
      <c r="B33" s="131">
        <f ca="1">DATE(YEAR(NOW()),MONTH(NOW())-3,15)</f>
        <v>42292</v>
      </c>
      <c r="C33" s="60">
        <v>46</v>
      </c>
      <c r="D33" s="61">
        <v>76</v>
      </c>
      <c r="E33" s="61">
        <v>439</v>
      </c>
      <c r="F33" s="61">
        <v>611</v>
      </c>
      <c r="G33" s="63">
        <v>137590</v>
      </c>
      <c r="H33" s="64">
        <v>539</v>
      </c>
      <c r="I33" s="64">
        <v>194</v>
      </c>
      <c r="J33" s="61">
        <v>1861</v>
      </c>
      <c r="K33" s="61">
        <v>213</v>
      </c>
      <c r="L33" s="51">
        <v>3.4526901670000001</v>
      </c>
      <c r="M33" s="134">
        <v>0.219194795</v>
      </c>
      <c r="N33" s="134">
        <v>0.196518001</v>
      </c>
      <c r="O33" s="134">
        <v>3.0000000000000001E-3</v>
      </c>
      <c r="P33" s="134">
        <v>0.37666666700000001</v>
      </c>
      <c r="Q33" s="132">
        <f t="shared" si="2"/>
        <v>513288.01980491355</v>
      </c>
      <c r="R33" s="133"/>
      <c r="S33" s="133"/>
      <c r="T33" s="133"/>
    </row>
    <row r="34" spans="2:20" s="128" customFormat="1">
      <c r="B34" s="131">
        <f ca="1">DATE(YEAR(NOW()),MONTH(NOW())-4,15)</f>
        <v>42262</v>
      </c>
      <c r="C34" s="60">
        <v>56</v>
      </c>
      <c r="D34" s="61">
        <v>88</v>
      </c>
      <c r="E34" s="61">
        <v>191</v>
      </c>
      <c r="F34" s="61">
        <v>519</v>
      </c>
      <c r="G34" s="63">
        <v>171005</v>
      </c>
      <c r="H34" s="64">
        <v>865</v>
      </c>
      <c r="I34" s="64">
        <v>199</v>
      </c>
      <c r="J34" s="61">
        <v>2049</v>
      </c>
      <c r="K34" s="61">
        <v>276</v>
      </c>
      <c r="L34" s="51">
        <v>2.3687861269999999</v>
      </c>
      <c r="M34" s="134">
        <v>0.26615384600000003</v>
      </c>
      <c r="N34" s="134">
        <v>0.216847243</v>
      </c>
      <c r="O34" s="134">
        <v>1.0973281999999999E-2</v>
      </c>
      <c r="P34" s="134">
        <v>1.1450382E-2</v>
      </c>
      <c r="Q34" s="132">
        <f t="shared" si="2"/>
        <v>752900.24153691146</v>
      </c>
      <c r="R34" s="133"/>
      <c r="S34" s="133"/>
      <c r="T34" s="133"/>
    </row>
    <row r="35" spans="2:20" s="128" customFormat="1">
      <c r="B35" s="131">
        <f ca="1">DATE(YEAR(NOW()),MONTH(NOW())-5,15)</f>
        <v>42231</v>
      </c>
      <c r="C35" s="60">
        <v>73</v>
      </c>
      <c r="D35" s="61">
        <v>44</v>
      </c>
      <c r="E35" s="61">
        <v>193</v>
      </c>
      <c r="F35" s="61">
        <v>951</v>
      </c>
      <c r="G35" s="63">
        <v>195527</v>
      </c>
      <c r="H35" s="64">
        <v>1025</v>
      </c>
      <c r="I35" s="64">
        <v>86</v>
      </c>
      <c r="J35" s="61">
        <v>1947</v>
      </c>
      <c r="K35" s="61">
        <v>89</v>
      </c>
      <c r="L35" s="51">
        <v>1.899512195</v>
      </c>
      <c r="M35" s="134">
        <v>0.26221539999999999</v>
      </c>
      <c r="N35" s="134">
        <v>0.206091423</v>
      </c>
      <c r="O35" s="134">
        <v>6.5756199999999999E-3</v>
      </c>
      <c r="P35" s="134">
        <v>8.5988869999999995E-3</v>
      </c>
      <c r="Q35" s="132">
        <f t="shared" si="2"/>
        <v>631382.61091420345</v>
      </c>
      <c r="R35" s="133"/>
      <c r="S35" s="133"/>
      <c r="T35" s="133"/>
    </row>
    <row r="36" spans="2:20" s="128" customFormat="1">
      <c r="B36" s="131">
        <f ca="1">DATE(YEAR(NOW()),MONTH(NOW())-6,15)</f>
        <v>42200</v>
      </c>
      <c r="C36" s="60">
        <v>84</v>
      </c>
      <c r="D36" s="61">
        <v>56</v>
      </c>
      <c r="E36" s="61">
        <v>205</v>
      </c>
      <c r="F36" s="61">
        <v>1582</v>
      </c>
      <c r="G36" s="63">
        <v>129277</v>
      </c>
      <c r="H36" s="64">
        <v>584</v>
      </c>
      <c r="I36" s="64">
        <v>76</v>
      </c>
      <c r="J36" s="61">
        <v>914</v>
      </c>
      <c r="K36" s="61">
        <v>81</v>
      </c>
      <c r="L36" s="51">
        <v>1.5650684930000001</v>
      </c>
      <c r="M36" s="134">
        <v>0.22315628600000001</v>
      </c>
      <c r="N36" s="134">
        <v>0.198107221</v>
      </c>
      <c r="O36" s="134">
        <v>8.6021510000000006E-3</v>
      </c>
      <c r="P36" s="134">
        <v>8.6021510000000006E-3</v>
      </c>
      <c r="Q36" s="132">
        <f t="shared" si="2"/>
        <v>149835.42499503499</v>
      </c>
      <c r="R36" s="133"/>
      <c r="S36" s="133"/>
      <c r="T36" s="133"/>
    </row>
    <row r="37" spans="2:20" s="128" customFormat="1">
      <c r="B37" s="131">
        <f ca="1">DATE(YEAR(NOW()),MONTH(NOW())-7,15)</f>
        <v>42170</v>
      </c>
      <c r="C37" s="60">
        <v>20</v>
      </c>
      <c r="D37" s="61">
        <v>22</v>
      </c>
      <c r="E37" s="61">
        <v>69</v>
      </c>
      <c r="F37" s="61">
        <v>191</v>
      </c>
      <c r="G37" s="63">
        <v>66236</v>
      </c>
      <c r="H37" s="64">
        <v>87</v>
      </c>
      <c r="I37" s="64">
        <v>32</v>
      </c>
      <c r="J37" s="61">
        <v>166</v>
      </c>
      <c r="K37" s="61">
        <v>35</v>
      </c>
      <c r="L37" s="51">
        <v>1.908045977</v>
      </c>
      <c r="M37" s="134">
        <v>4.9152542E-2</v>
      </c>
      <c r="N37" s="134">
        <v>0.17608433700000001</v>
      </c>
      <c r="O37" s="134">
        <v>1.1695906000000001E-2</v>
      </c>
      <c r="P37" s="134">
        <v>1.7543860000000001E-2</v>
      </c>
      <c r="Q37" s="132">
        <f t="shared" si="2"/>
        <v>4676.7999907200001</v>
      </c>
      <c r="R37" s="133"/>
      <c r="S37" s="133"/>
      <c r="T37" s="133"/>
    </row>
    <row r="38" spans="2:20">
      <c r="B38" s="131">
        <f ca="1">DATE(YEAR(NOW()),MONTH(NOW())-8,15)</f>
        <v>42139</v>
      </c>
      <c r="C38" s="60">
        <v>69</v>
      </c>
      <c r="D38" s="61">
        <v>30</v>
      </c>
      <c r="E38" s="61">
        <v>168</v>
      </c>
      <c r="F38" s="61">
        <v>122</v>
      </c>
      <c r="G38" s="63">
        <v>127625</v>
      </c>
      <c r="H38" s="64">
        <v>76</v>
      </c>
      <c r="I38" s="64">
        <v>40</v>
      </c>
      <c r="J38" s="61">
        <v>169</v>
      </c>
      <c r="K38" s="61">
        <v>41</v>
      </c>
      <c r="L38" s="51">
        <v>2.2236842110000001</v>
      </c>
      <c r="M38" s="134">
        <v>3.1033075E-2</v>
      </c>
      <c r="N38" s="135">
        <v>0.13964497000000001</v>
      </c>
      <c r="O38" s="134">
        <v>5.5865919999999996E-3</v>
      </c>
      <c r="P38" s="134">
        <v>4.4692737000000003E-2</v>
      </c>
      <c r="Q38" s="132">
        <f t="shared" si="2"/>
        <v>3846.7999885900003</v>
      </c>
      <c r="R38" s="133"/>
      <c r="S38" s="133"/>
      <c r="T38" s="133"/>
    </row>
    <row r="39" spans="2:20">
      <c r="B39" s="131">
        <f ca="1">DATE(YEAR(NOW()),MONTH(NOW())-9,15)</f>
        <v>42109</v>
      </c>
      <c r="C39" s="60">
        <v>109</v>
      </c>
      <c r="D39" s="61">
        <v>88</v>
      </c>
      <c r="E39" s="61">
        <v>190</v>
      </c>
      <c r="F39" s="61">
        <v>226</v>
      </c>
      <c r="G39" s="63">
        <v>61562</v>
      </c>
      <c r="H39" s="64">
        <v>148</v>
      </c>
      <c r="I39" s="64">
        <v>120</v>
      </c>
      <c r="J39" s="61">
        <v>400</v>
      </c>
      <c r="K39" s="100">
        <v>127</v>
      </c>
      <c r="L39" s="54">
        <v>2.7027027029999999</v>
      </c>
      <c r="M39" s="134">
        <v>0.113236419</v>
      </c>
      <c r="N39" s="135">
        <v>0.10664999999999999</v>
      </c>
      <c r="O39" s="134">
        <v>2.380952E-3</v>
      </c>
      <c r="P39" s="134">
        <v>4.5238094999999999E-2</v>
      </c>
      <c r="Q39" s="132">
        <f t="shared" si="2"/>
        <v>16957.349999999999</v>
      </c>
      <c r="R39" s="133"/>
      <c r="S39" s="133"/>
      <c r="T39" s="133"/>
    </row>
    <row r="40" spans="2:20" ht="15.75" thickBot="1">
      <c r="B40" s="131">
        <f ca="1">DATE(YEAR(NOW()),MONTH(NOW())-10,15)</f>
        <v>42078</v>
      </c>
      <c r="C40" s="60">
        <v>86</v>
      </c>
      <c r="D40" s="61">
        <v>71</v>
      </c>
      <c r="E40" s="61">
        <v>299</v>
      </c>
      <c r="F40" s="61">
        <v>202</v>
      </c>
      <c r="G40" s="63">
        <v>40345</v>
      </c>
      <c r="H40" s="64">
        <v>136</v>
      </c>
      <c r="I40" s="64">
        <v>89</v>
      </c>
      <c r="J40" s="61">
        <v>368</v>
      </c>
      <c r="K40" s="100">
        <v>113</v>
      </c>
      <c r="L40" s="55">
        <v>2.7058823529999998</v>
      </c>
      <c r="M40" s="134">
        <v>0.120567376</v>
      </c>
      <c r="N40" s="136">
        <v>0.118722826</v>
      </c>
      <c r="O40" s="134">
        <v>0</v>
      </c>
      <c r="P40" s="134">
        <v>2.3684211E-2</v>
      </c>
      <c r="Q40" s="132">
        <f t="shared" si="2"/>
        <v>15422.569988704001</v>
      </c>
      <c r="R40" s="133"/>
      <c r="S40" s="133"/>
      <c r="T40" s="133"/>
    </row>
    <row r="41" spans="2:20">
      <c r="B41" s="130" t="str">
        <f>L160</f>
        <v>Lahore - Islamabad</v>
      </c>
      <c r="C41" s="57"/>
      <c r="D41" s="58"/>
      <c r="E41" s="58"/>
      <c r="F41" s="58"/>
      <c r="G41" s="59"/>
      <c r="H41" s="58"/>
      <c r="I41" s="58"/>
      <c r="J41" s="58"/>
      <c r="K41" s="58"/>
      <c r="L41" s="58"/>
      <c r="M41" s="58"/>
      <c r="N41" s="58"/>
      <c r="O41" s="58"/>
      <c r="P41" s="58"/>
      <c r="Q41" s="59"/>
      <c r="R41" s="133"/>
      <c r="S41" s="17"/>
      <c r="T41" s="17"/>
    </row>
    <row r="42" spans="2:20" s="128" customFormat="1">
      <c r="B42" s="131">
        <f ca="1">DATE(YEAR(NOW()),MONTH(NOW())-1,15)</f>
        <v>42353</v>
      </c>
      <c r="C42" s="60">
        <v>117</v>
      </c>
      <c r="D42" s="61">
        <v>145</v>
      </c>
      <c r="E42" s="61">
        <v>228</v>
      </c>
      <c r="F42" s="61">
        <v>268</v>
      </c>
      <c r="G42" s="63">
        <v>208344</v>
      </c>
      <c r="H42" s="71">
        <v>103</v>
      </c>
      <c r="I42" s="71">
        <v>99</v>
      </c>
      <c r="J42" s="62">
        <v>199</v>
      </c>
      <c r="K42" s="62">
        <v>148</v>
      </c>
      <c r="L42" s="51">
        <v>1.932038835</v>
      </c>
      <c r="M42" s="134">
        <v>0.56284153000000003</v>
      </c>
      <c r="N42" s="134">
        <v>3.8839698490000001</v>
      </c>
      <c r="O42" s="134">
        <v>0.133514986</v>
      </c>
      <c r="P42" s="134">
        <v>0.19073569500000001</v>
      </c>
      <c r="Q42" s="132">
        <f t="shared" ref="Q42:Q51" si="3">(((H42+I42)+(J42+K42))/2)*(N42*J42)</f>
        <v>212163.7949865495</v>
      </c>
      <c r="R42" s="133"/>
      <c r="S42" s="133"/>
      <c r="T42" s="133"/>
    </row>
    <row r="43" spans="2:20" s="128" customFormat="1">
      <c r="B43" s="131">
        <f ca="1">DATE(YEAR(NOW()),MONTH(NOW())-2,15)</f>
        <v>42323</v>
      </c>
      <c r="C43" s="60">
        <v>69</v>
      </c>
      <c r="D43" s="61">
        <v>84</v>
      </c>
      <c r="E43" s="61">
        <v>145</v>
      </c>
      <c r="F43" s="61">
        <v>169</v>
      </c>
      <c r="G43" s="63">
        <v>155958</v>
      </c>
      <c r="H43" s="71">
        <v>79</v>
      </c>
      <c r="I43" s="71">
        <v>79</v>
      </c>
      <c r="J43" s="62">
        <v>202</v>
      </c>
      <c r="K43" s="62">
        <v>120</v>
      </c>
      <c r="L43" s="51">
        <v>2.5569620249999998</v>
      </c>
      <c r="M43" s="134">
        <v>0.63200000000000001</v>
      </c>
      <c r="N43" s="134">
        <v>3.7925247519999998</v>
      </c>
      <c r="O43" s="134">
        <v>9.0252708000000001E-2</v>
      </c>
      <c r="P43" s="134">
        <v>0.151624549</v>
      </c>
      <c r="Q43" s="132">
        <f t="shared" si="3"/>
        <v>183861.59997695999</v>
      </c>
      <c r="R43" s="133"/>
      <c r="S43" s="133"/>
      <c r="T43" s="133"/>
    </row>
    <row r="44" spans="2:20" s="128" customFormat="1">
      <c r="B44" s="131">
        <f ca="1">DATE(YEAR(NOW()),MONTH(NOW())-3,15)</f>
        <v>42292</v>
      </c>
      <c r="C44" s="60">
        <v>137</v>
      </c>
      <c r="D44" s="61">
        <v>84</v>
      </c>
      <c r="E44" s="61">
        <v>182</v>
      </c>
      <c r="F44" s="61">
        <v>159</v>
      </c>
      <c r="G44" s="63">
        <v>207664</v>
      </c>
      <c r="H44" s="71">
        <v>86</v>
      </c>
      <c r="I44" s="71">
        <v>85</v>
      </c>
      <c r="J44" s="62">
        <v>183</v>
      </c>
      <c r="K44" s="62">
        <v>123</v>
      </c>
      <c r="L44" s="51">
        <v>2.1279069769999999</v>
      </c>
      <c r="M44" s="134">
        <v>0.51190476200000001</v>
      </c>
      <c r="N44" s="134">
        <v>3.8563387979999999</v>
      </c>
      <c r="O44" s="134">
        <v>8.2987552000000006E-2</v>
      </c>
      <c r="P44" s="134">
        <v>0.13278008299999999</v>
      </c>
      <c r="Q44" s="132">
        <f t="shared" si="3"/>
        <v>168311.83500810902</v>
      </c>
      <c r="R44" s="133"/>
      <c r="S44" s="133"/>
      <c r="T44" s="133"/>
    </row>
    <row r="45" spans="2:20" s="128" customFormat="1">
      <c r="B45" s="131">
        <f ca="1">DATE(YEAR(NOW()),MONTH(NOW())-4,15)</f>
        <v>42262</v>
      </c>
      <c r="C45" s="60">
        <v>99</v>
      </c>
      <c r="D45" s="61">
        <v>82</v>
      </c>
      <c r="E45" s="61">
        <v>151</v>
      </c>
      <c r="F45" s="61">
        <v>148</v>
      </c>
      <c r="G45" s="63">
        <v>151410</v>
      </c>
      <c r="H45" s="71">
        <v>81</v>
      </c>
      <c r="I45" s="71">
        <v>77</v>
      </c>
      <c r="J45" s="62">
        <v>143</v>
      </c>
      <c r="K45" s="62">
        <v>112</v>
      </c>
      <c r="L45" s="51">
        <v>1.7654320990000001</v>
      </c>
      <c r="M45" s="134">
        <v>0.6</v>
      </c>
      <c r="N45" s="134">
        <v>3.8601398599999999</v>
      </c>
      <c r="O45" s="134">
        <v>8.4656085000000006E-2</v>
      </c>
      <c r="P45" s="134">
        <v>0.137566138</v>
      </c>
      <c r="Q45" s="132">
        <f t="shared" si="3"/>
        <v>113987.99999586999</v>
      </c>
    </row>
    <row r="46" spans="2:20" s="128" customFormat="1">
      <c r="B46" s="131">
        <f ca="1">DATE(YEAR(NOW()),MONTH(NOW())-5,15)</f>
        <v>42231</v>
      </c>
      <c r="C46" s="60">
        <v>78</v>
      </c>
      <c r="D46" s="61">
        <v>50</v>
      </c>
      <c r="E46" s="61">
        <v>97</v>
      </c>
      <c r="F46" s="61">
        <v>64</v>
      </c>
      <c r="G46" s="63">
        <v>88030</v>
      </c>
      <c r="H46" s="71">
        <v>39</v>
      </c>
      <c r="I46" s="71">
        <v>37</v>
      </c>
      <c r="J46" s="62">
        <v>73</v>
      </c>
      <c r="K46" s="62">
        <v>46</v>
      </c>
      <c r="L46" s="51">
        <v>1.8717948719999999</v>
      </c>
      <c r="M46" s="134">
        <v>0.469879518</v>
      </c>
      <c r="N46" s="134">
        <v>3.8553424660000002</v>
      </c>
      <c r="O46" s="134">
        <v>4.5454544999999999E-2</v>
      </c>
      <c r="P46" s="134">
        <v>9.0909090999999997E-2</v>
      </c>
      <c r="Q46" s="132">
        <f t="shared" si="3"/>
        <v>27440.400001755002</v>
      </c>
    </row>
    <row r="47" spans="2:20" s="128" customFormat="1">
      <c r="B47" s="131">
        <f ca="1">DATE(YEAR(NOW()),MONTH(NOW())-6,15)</f>
        <v>42200</v>
      </c>
      <c r="C47" s="60">
        <v>14</v>
      </c>
      <c r="D47" s="61">
        <v>15</v>
      </c>
      <c r="E47" s="61">
        <v>26</v>
      </c>
      <c r="F47" s="61">
        <v>25</v>
      </c>
      <c r="G47" s="63">
        <v>42476</v>
      </c>
      <c r="H47" s="71">
        <v>18</v>
      </c>
      <c r="I47" s="71">
        <v>11</v>
      </c>
      <c r="J47" s="62">
        <v>44</v>
      </c>
      <c r="K47" s="62">
        <v>14</v>
      </c>
      <c r="L47" s="51">
        <v>2.4444444440000002</v>
      </c>
      <c r="M47" s="134">
        <v>0.45</v>
      </c>
      <c r="N47" s="134">
        <v>3.9052272729999999</v>
      </c>
      <c r="O47" s="134">
        <v>9.2592593000000001E-2</v>
      </c>
      <c r="P47" s="134">
        <v>9.2592593000000001E-2</v>
      </c>
      <c r="Q47" s="132">
        <f t="shared" si="3"/>
        <v>7474.6050005220004</v>
      </c>
    </row>
    <row r="48" spans="2:20" s="128" customFormat="1">
      <c r="B48" s="131">
        <f ca="1">DATE(YEAR(NOW()),MONTH(NOW())-7,15)</f>
        <v>42170</v>
      </c>
      <c r="C48" s="60">
        <v>11</v>
      </c>
      <c r="D48" s="61">
        <v>15</v>
      </c>
      <c r="E48" s="61">
        <v>14</v>
      </c>
      <c r="F48" s="61">
        <v>17</v>
      </c>
      <c r="G48" s="63">
        <v>15399</v>
      </c>
      <c r="H48" s="71">
        <v>8</v>
      </c>
      <c r="I48" s="71">
        <v>8</v>
      </c>
      <c r="J48" s="62">
        <v>26</v>
      </c>
      <c r="K48" s="62">
        <v>15</v>
      </c>
      <c r="L48" s="51">
        <v>3.25</v>
      </c>
      <c r="M48" s="134">
        <v>0.61538461499999997</v>
      </c>
      <c r="N48" s="134">
        <v>3.8330769230000001</v>
      </c>
      <c r="O48" s="134">
        <v>0</v>
      </c>
      <c r="P48" s="134">
        <v>0</v>
      </c>
      <c r="Q48" s="132">
        <f t="shared" si="3"/>
        <v>2840.3099999430001</v>
      </c>
    </row>
    <row r="49" spans="2:17">
      <c r="B49" s="131">
        <f ca="1">DATE(YEAR(NOW()),MONTH(NOW())-8,15)</f>
        <v>42139</v>
      </c>
      <c r="C49" s="60">
        <v>14</v>
      </c>
      <c r="D49" s="61">
        <v>13</v>
      </c>
      <c r="E49" s="61">
        <v>20</v>
      </c>
      <c r="F49" s="61">
        <v>14</v>
      </c>
      <c r="G49" s="63">
        <v>52504</v>
      </c>
      <c r="H49" s="71">
        <v>8</v>
      </c>
      <c r="I49" s="71">
        <v>8</v>
      </c>
      <c r="J49" s="62">
        <v>16</v>
      </c>
      <c r="K49" s="62">
        <v>14</v>
      </c>
      <c r="L49" s="51">
        <v>2</v>
      </c>
      <c r="M49" s="134">
        <v>0.14035087700000001</v>
      </c>
      <c r="N49" s="135">
        <v>3.9068749999999999</v>
      </c>
      <c r="O49" s="134">
        <v>5.5555555999999999E-2</v>
      </c>
      <c r="P49" s="134">
        <v>5.5555555999999999E-2</v>
      </c>
      <c r="Q49" s="132">
        <f t="shared" si="3"/>
        <v>1437.73</v>
      </c>
    </row>
    <row r="50" spans="2:17">
      <c r="B50" s="131">
        <f ca="1">DATE(YEAR(NOW()),MONTH(NOW())-9,15)</f>
        <v>42109</v>
      </c>
      <c r="C50" s="60">
        <v>8</v>
      </c>
      <c r="D50" s="61">
        <v>3</v>
      </c>
      <c r="E50" s="61">
        <v>12</v>
      </c>
      <c r="F50" s="61">
        <v>4</v>
      </c>
      <c r="G50" s="63">
        <v>11234</v>
      </c>
      <c r="H50" s="64">
        <v>2</v>
      </c>
      <c r="I50" s="64">
        <v>2</v>
      </c>
      <c r="J50" s="61">
        <v>5</v>
      </c>
      <c r="K50" s="100">
        <v>3</v>
      </c>
      <c r="L50" s="54">
        <v>2.5</v>
      </c>
      <c r="M50" s="134">
        <v>0.18181818199999999</v>
      </c>
      <c r="N50" s="135">
        <v>3.9060000000000001</v>
      </c>
      <c r="O50" s="134">
        <v>0</v>
      </c>
      <c r="P50" s="134">
        <v>0</v>
      </c>
      <c r="Q50" s="132">
        <f t="shared" si="3"/>
        <v>117.18</v>
      </c>
    </row>
    <row r="51" spans="2:17" ht="15.75" thickBot="1">
      <c r="B51" s="131">
        <f ca="1">DATE(YEAR(NOW()),MONTH(NOW())-10,15)</f>
        <v>42078</v>
      </c>
      <c r="C51" s="60">
        <v>13</v>
      </c>
      <c r="D51" s="61">
        <v>11</v>
      </c>
      <c r="E51" s="61">
        <v>18</v>
      </c>
      <c r="F51" s="61">
        <v>13</v>
      </c>
      <c r="G51" s="63">
        <v>20687</v>
      </c>
      <c r="H51" s="66">
        <v>11</v>
      </c>
      <c r="I51" s="66">
        <v>11</v>
      </c>
      <c r="J51" s="67">
        <v>22</v>
      </c>
      <c r="K51" s="67">
        <v>12</v>
      </c>
      <c r="L51" s="55">
        <v>2</v>
      </c>
      <c r="M51" s="134">
        <v>0.52380952400000003</v>
      </c>
      <c r="N51" s="136">
        <v>3.0613636359999998</v>
      </c>
      <c r="O51" s="134">
        <v>0.1</v>
      </c>
      <c r="P51" s="134">
        <v>0.1</v>
      </c>
      <c r="Q51" s="132">
        <f t="shared" si="3"/>
        <v>1885.7999997759998</v>
      </c>
    </row>
    <row r="52" spans="2:17">
      <c r="B52" s="130" t="str">
        <f>L161</f>
        <v>Karachi - Karachi</v>
      </c>
      <c r="C52" s="57"/>
      <c r="D52" s="58"/>
      <c r="E52" s="58"/>
      <c r="F52" s="58"/>
      <c r="G52" s="59"/>
      <c r="H52" s="58"/>
      <c r="I52" s="58"/>
      <c r="J52" s="58"/>
      <c r="K52" s="58"/>
      <c r="L52" s="58"/>
      <c r="M52" s="58"/>
      <c r="N52" s="58"/>
      <c r="O52" s="58"/>
      <c r="P52" s="58"/>
      <c r="Q52" s="59"/>
    </row>
    <row r="53" spans="2:17" s="128" customFormat="1">
      <c r="B53" s="131">
        <f ca="1">DATE(YEAR(NOW()),MONTH(NOW())-1,15)</f>
        <v>42353</v>
      </c>
      <c r="C53" s="60">
        <v>359</v>
      </c>
      <c r="D53" s="61">
        <v>266</v>
      </c>
      <c r="E53" s="61">
        <v>817</v>
      </c>
      <c r="F53" s="61">
        <v>8616</v>
      </c>
      <c r="G53" s="49">
        <v>4446170</v>
      </c>
      <c r="H53" s="64">
        <v>2988</v>
      </c>
      <c r="I53" s="64">
        <v>2782</v>
      </c>
      <c r="J53" s="61">
        <v>7371</v>
      </c>
      <c r="K53" s="61">
        <v>5410</v>
      </c>
      <c r="L53" s="51">
        <v>2.46686747</v>
      </c>
      <c r="M53" s="134">
        <v>6.1346418E-2</v>
      </c>
      <c r="N53" s="134">
        <v>0.14232668600000001</v>
      </c>
      <c r="O53" s="134">
        <v>1.0001999999999999E-4</v>
      </c>
      <c r="P53" s="134">
        <v>0.26265253100000002</v>
      </c>
      <c r="Q53" s="132">
        <f t="shared" ref="Q53:Q62" si="4">(((H53+I53)+(J53+K53))/2)*(N53*J53)</f>
        <v>9730834.3182444032</v>
      </c>
    </row>
    <row r="54" spans="2:17" s="128" customFormat="1">
      <c r="B54" s="131">
        <f ca="1">DATE(YEAR(NOW()),MONTH(NOW())-2,15)</f>
        <v>42323</v>
      </c>
      <c r="C54" s="60">
        <v>199</v>
      </c>
      <c r="D54" s="61">
        <v>281</v>
      </c>
      <c r="E54" s="61">
        <v>645</v>
      </c>
      <c r="F54" s="61">
        <v>4457</v>
      </c>
      <c r="G54" s="49">
        <v>617345</v>
      </c>
      <c r="H54" s="64">
        <v>2095</v>
      </c>
      <c r="I54" s="64">
        <v>1709</v>
      </c>
      <c r="J54" s="61">
        <v>5979</v>
      </c>
      <c r="K54" s="61">
        <v>3842</v>
      </c>
      <c r="L54" s="51">
        <v>2.8539379469999999</v>
      </c>
      <c r="M54" s="134">
        <v>0.24810516299999999</v>
      </c>
      <c r="N54" s="134">
        <v>0.17630874699999999</v>
      </c>
      <c r="O54" s="134">
        <v>0.109690883</v>
      </c>
      <c r="P54" s="134">
        <v>0.110473458</v>
      </c>
      <c r="Q54" s="132">
        <f t="shared" si="4"/>
        <v>7181396.8635073127</v>
      </c>
    </row>
    <row r="55" spans="2:17" s="128" customFormat="1">
      <c r="B55" s="131">
        <f ca="1">DATE(YEAR(NOW()),MONTH(NOW())-3,15)</f>
        <v>42292</v>
      </c>
      <c r="C55" s="60">
        <v>194</v>
      </c>
      <c r="D55" s="61">
        <v>263</v>
      </c>
      <c r="E55" s="61">
        <v>793</v>
      </c>
      <c r="F55" s="61">
        <v>4543</v>
      </c>
      <c r="G55" s="49">
        <v>376092</v>
      </c>
      <c r="H55" s="64">
        <v>1581</v>
      </c>
      <c r="I55" s="64">
        <v>1138</v>
      </c>
      <c r="J55" s="61">
        <v>5826</v>
      </c>
      <c r="K55" s="61">
        <v>2117</v>
      </c>
      <c r="L55" s="51">
        <v>3.6850094879999999</v>
      </c>
      <c r="M55" s="134">
        <v>0.33270201999999999</v>
      </c>
      <c r="N55" s="134">
        <v>0.20006865800000001</v>
      </c>
      <c r="O55" s="134">
        <v>4.5530259999999999E-3</v>
      </c>
      <c r="P55" s="134">
        <v>0.34036646300000001</v>
      </c>
      <c r="Q55" s="132">
        <f t="shared" si="4"/>
        <v>6213813.6080391482</v>
      </c>
    </row>
    <row r="56" spans="2:17" s="128" customFormat="1">
      <c r="B56" s="131">
        <f ca="1">DATE(YEAR(NOW()),MONTH(NOW())-4,15)</f>
        <v>42262</v>
      </c>
      <c r="C56" s="60">
        <v>77</v>
      </c>
      <c r="D56" s="61">
        <v>72</v>
      </c>
      <c r="E56" s="61">
        <v>307</v>
      </c>
      <c r="F56" s="61">
        <v>778</v>
      </c>
      <c r="G56" s="49">
        <v>182976</v>
      </c>
      <c r="H56" s="64">
        <v>719</v>
      </c>
      <c r="I56" s="64">
        <v>275</v>
      </c>
      <c r="J56" s="61">
        <v>2579</v>
      </c>
      <c r="K56" s="61">
        <v>529</v>
      </c>
      <c r="L56" s="51">
        <v>3.5869262869999998</v>
      </c>
      <c r="M56" s="134">
        <v>0.27276176000000002</v>
      </c>
      <c r="N56" s="134">
        <v>0.22509112100000001</v>
      </c>
      <c r="O56" s="134">
        <v>5.3557769999999999E-3</v>
      </c>
      <c r="P56" s="134">
        <v>8.0336650000000006E-3</v>
      </c>
      <c r="Q56" s="132">
        <f t="shared" si="4"/>
        <v>1190626.0121720091</v>
      </c>
    </row>
    <row r="57" spans="2:17" s="128" customFormat="1">
      <c r="B57" s="131">
        <f ca="1">DATE(YEAR(NOW()),MONTH(NOW())-5,15)</f>
        <v>42231</v>
      </c>
      <c r="C57" s="60">
        <v>32</v>
      </c>
      <c r="D57" s="61">
        <v>19</v>
      </c>
      <c r="E57" s="61">
        <v>69</v>
      </c>
      <c r="F57" s="61">
        <v>846</v>
      </c>
      <c r="G57" s="49">
        <v>184217</v>
      </c>
      <c r="H57" s="64">
        <v>464</v>
      </c>
      <c r="I57" s="64">
        <v>32</v>
      </c>
      <c r="J57" s="61">
        <v>1116</v>
      </c>
      <c r="K57" s="61">
        <v>31</v>
      </c>
      <c r="L57" s="51">
        <v>2.4051724139999999</v>
      </c>
      <c r="M57" s="134">
        <v>0.147770701</v>
      </c>
      <c r="N57" s="134">
        <v>0.19738351300000001</v>
      </c>
      <c r="O57" s="134">
        <v>5.3097350000000003E-3</v>
      </c>
      <c r="P57" s="134">
        <v>7.0796460000000002E-3</v>
      </c>
      <c r="Q57" s="132">
        <f t="shared" si="4"/>
        <v>180960.020417322</v>
      </c>
    </row>
    <row r="58" spans="2:17" s="128" customFormat="1">
      <c r="B58" s="131">
        <f ca="1">DATE(YEAR(NOW()),MONTH(NOW())-6,15)</f>
        <v>42200</v>
      </c>
      <c r="C58" s="60">
        <v>49</v>
      </c>
      <c r="D58" s="61">
        <v>32</v>
      </c>
      <c r="E58" s="61">
        <v>100</v>
      </c>
      <c r="F58" s="61">
        <v>620</v>
      </c>
      <c r="G58" s="49">
        <v>372874</v>
      </c>
      <c r="H58" s="64">
        <v>815</v>
      </c>
      <c r="I58" s="64">
        <v>43</v>
      </c>
      <c r="J58" s="61">
        <v>1630</v>
      </c>
      <c r="K58" s="61">
        <v>43</v>
      </c>
      <c r="L58" s="51">
        <v>2</v>
      </c>
      <c r="M58" s="134">
        <v>0.110209601</v>
      </c>
      <c r="N58" s="134">
        <v>0.158466258</v>
      </c>
      <c r="O58" s="134">
        <v>1.5098722E-2</v>
      </c>
      <c r="P58" s="134">
        <v>3.8327526000000001E-2</v>
      </c>
      <c r="Q58" s="132">
        <f t="shared" si="4"/>
        <v>326878.65068336995</v>
      </c>
    </row>
    <row r="59" spans="2:17" s="128" customFormat="1">
      <c r="B59" s="131">
        <f ca="1">DATE(YEAR(NOW()),MONTH(NOW())-7,15)</f>
        <v>42170</v>
      </c>
      <c r="C59" s="60">
        <v>57</v>
      </c>
      <c r="D59" s="61">
        <v>42</v>
      </c>
      <c r="E59" s="61">
        <v>113</v>
      </c>
      <c r="F59" s="61">
        <v>1251</v>
      </c>
      <c r="G59" s="49">
        <v>397062</v>
      </c>
      <c r="H59" s="64">
        <v>494</v>
      </c>
      <c r="I59" s="64">
        <v>61</v>
      </c>
      <c r="J59" s="61">
        <v>1038</v>
      </c>
      <c r="K59" s="61">
        <v>58</v>
      </c>
      <c r="L59" s="51">
        <v>2.1012145750000002</v>
      </c>
      <c r="M59" s="134">
        <v>6.2722193999999995E-2</v>
      </c>
      <c r="N59" s="134">
        <v>0.18206165699999999</v>
      </c>
      <c r="O59" s="134">
        <v>5.617978E-3</v>
      </c>
      <c r="P59" s="134">
        <v>2.2471910000000001E-2</v>
      </c>
      <c r="Q59" s="132">
        <f t="shared" si="4"/>
        <v>156002.98997193298</v>
      </c>
    </row>
    <row r="60" spans="2:17">
      <c r="B60" s="131">
        <f ca="1">DATE(YEAR(NOW()),MONTH(NOW())-8,15)</f>
        <v>42139</v>
      </c>
      <c r="C60" s="60">
        <v>174</v>
      </c>
      <c r="D60" s="61">
        <v>79</v>
      </c>
      <c r="E60" s="61">
        <v>341</v>
      </c>
      <c r="F60" s="61">
        <v>664</v>
      </c>
      <c r="G60" s="49">
        <v>247938</v>
      </c>
      <c r="H60" s="64">
        <v>217</v>
      </c>
      <c r="I60" s="64">
        <v>95</v>
      </c>
      <c r="J60" s="61">
        <v>337</v>
      </c>
      <c r="K60" s="61">
        <v>98</v>
      </c>
      <c r="L60" s="51">
        <v>1.5529953919999999</v>
      </c>
      <c r="M60" s="134">
        <v>4.3618089999999998E-2</v>
      </c>
      <c r="N60" s="135">
        <v>0.18293768499999999</v>
      </c>
      <c r="O60" s="134">
        <v>1.3850416000000001E-2</v>
      </c>
      <c r="P60" s="134">
        <v>4.7091412999999999E-2</v>
      </c>
      <c r="Q60" s="132">
        <f t="shared" si="4"/>
        <v>23026.274942107499</v>
      </c>
    </row>
    <row r="61" spans="2:17">
      <c r="B61" s="131">
        <f ca="1">DATE(YEAR(NOW()),MONTH(NOW())-9,15)</f>
        <v>42109</v>
      </c>
      <c r="C61" s="60">
        <v>51</v>
      </c>
      <c r="D61" s="61">
        <v>30</v>
      </c>
      <c r="E61" s="61">
        <v>97</v>
      </c>
      <c r="F61" s="61">
        <v>103</v>
      </c>
      <c r="G61" s="49">
        <v>170680</v>
      </c>
      <c r="H61" s="64">
        <v>134</v>
      </c>
      <c r="I61" s="64">
        <v>32</v>
      </c>
      <c r="J61" s="61">
        <v>201</v>
      </c>
      <c r="K61" s="100">
        <v>41</v>
      </c>
      <c r="L61" s="54">
        <v>1.5</v>
      </c>
      <c r="M61" s="134">
        <v>3.4706035000000003E-2</v>
      </c>
      <c r="N61" s="135">
        <v>0.161044776</v>
      </c>
      <c r="O61" s="134">
        <v>3.2558139999999999E-2</v>
      </c>
      <c r="P61" s="134">
        <v>3.2558139999999999E-2</v>
      </c>
      <c r="Q61" s="132">
        <f t="shared" si="4"/>
        <v>6603.4799951040004</v>
      </c>
    </row>
    <row r="62" spans="2:17" ht="16.5" customHeight="1" thickBot="1">
      <c r="B62" s="131">
        <f ca="1">DATE(YEAR(NOW()),MONTH(NOW())-10,15)</f>
        <v>42078</v>
      </c>
      <c r="C62" s="60">
        <v>87</v>
      </c>
      <c r="D62" s="61">
        <v>65</v>
      </c>
      <c r="E62" s="61">
        <v>256</v>
      </c>
      <c r="F62" s="61">
        <v>312</v>
      </c>
      <c r="G62" s="49">
        <v>130353</v>
      </c>
      <c r="H62" s="66">
        <v>182</v>
      </c>
      <c r="I62" s="66">
        <v>75</v>
      </c>
      <c r="J62" s="67">
        <v>336</v>
      </c>
      <c r="K62" s="67">
        <v>88</v>
      </c>
      <c r="L62" s="55">
        <v>1.846153846</v>
      </c>
      <c r="M62" s="134">
        <v>6.7482388000000004E-2</v>
      </c>
      <c r="N62" s="136">
        <v>0.17095238099999999</v>
      </c>
      <c r="O62" s="134">
        <v>5.8479530000000004E-3</v>
      </c>
      <c r="P62" s="134">
        <v>1.1695906000000001E-2</v>
      </c>
      <c r="Q62" s="132">
        <f t="shared" si="4"/>
        <v>19558.320005448</v>
      </c>
    </row>
    <row r="63" spans="2:17">
      <c r="B63" s="130" t="str">
        <f>L162</f>
        <v>Islamabad - Rawalpindi</v>
      </c>
      <c r="C63" s="57"/>
      <c r="D63" s="58"/>
      <c r="E63" s="58"/>
      <c r="F63" s="58"/>
      <c r="G63" s="59"/>
      <c r="H63" s="58"/>
      <c r="I63" s="58"/>
      <c r="J63" s="58"/>
      <c r="K63" s="58"/>
      <c r="L63" s="58"/>
      <c r="M63" s="58"/>
      <c r="N63" s="58"/>
      <c r="O63" s="58"/>
      <c r="P63" s="58"/>
      <c r="Q63" s="59"/>
    </row>
    <row r="64" spans="2:17" s="128" customFormat="1">
      <c r="B64" s="131">
        <f ca="1">DATE(YEAR(NOW()),MONTH(NOW())-1,15)</f>
        <v>42353</v>
      </c>
      <c r="C64" s="60">
        <v>23</v>
      </c>
      <c r="D64" s="61">
        <v>11</v>
      </c>
      <c r="E64" s="61">
        <v>26</v>
      </c>
      <c r="F64" s="61">
        <v>50</v>
      </c>
      <c r="G64" s="49">
        <v>32330</v>
      </c>
      <c r="H64" s="64">
        <v>35</v>
      </c>
      <c r="I64" s="64">
        <v>7</v>
      </c>
      <c r="J64" s="61">
        <v>78</v>
      </c>
      <c r="K64" s="61">
        <v>10</v>
      </c>
      <c r="L64" s="51">
        <v>2.228571429</v>
      </c>
      <c r="M64" s="134">
        <v>8.7499999999999994E-2</v>
      </c>
      <c r="N64" s="134">
        <v>0.14692307700000001</v>
      </c>
      <c r="O64" s="134">
        <v>0</v>
      </c>
      <c r="P64" s="134">
        <v>0</v>
      </c>
      <c r="Q64" s="132">
        <f t="shared" ref="Q64:Q73" si="5">(((H64+I64)+(J64+K64))/2)*(N64*J64)</f>
        <v>744.90000039000006</v>
      </c>
    </row>
    <row r="65" spans="2:17" s="128" customFormat="1">
      <c r="B65" s="131">
        <f ca="1">DATE(YEAR(NOW()),MONTH(NOW())-2,15)</f>
        <v>42323</v>
      </c>
      <c r="C65" s="60">
        <v>13</v>
      </c>
      <c r="D65" s="61"/>
      <c r="E65" s="61">
        <v>23</v>
      </c>
      <c r="F65" s="61"/>
      <c r="G65" s="49">
        <v>22983</v>
      </c>
      <c r="H65" s="64">
        <v>1</v>
      </c>
      <c r="I65" s="64">
        <v>1</v>
      </c>
      <c r="J65" s="61">
        <v>1</v>
      </c>
      <c r="K65" s="61">
        <v>1</v>
      </c>
      <c r="L65" s="51">
        <v>1</v>
      </c>
      <c r="M65" s="134">
        <v>4.1493779999999996E-3</v>
      </c>
      <c r="N65" s="134">
        <v>0.17</v>
      </c>
      <c r="O65" s="134">
        <v>0</v>
      </c>
      <c r="P65" s="134">
        <v>0</v>
      </c>
      <c r="Q65" s="132">
        <f t="shared" si="5"/>
        <v>0.34</v>
      </c>
    </row>
    <row r="66" spans="2:17" s="128" customFormat="1">
      <c r="B66" s="131">
        <f ca="1">DATE(YEAR(NOW()),MONTH(NOW())-3,15)</f>
        <v>42292</v>
      </c>
      <c r="C66" s="60">
        <v>17</v>
      </c>
      <c r="D66" s="61">
        <v>9</v>
      </c>
      <c r="E66" s="61">
        <v>20</v>
      </c>
      <c r="F66" s="61">
        <v>27</v>
      </c>
      <c r="G66" s="49">
        <v>24566</v>
      </c>
      <c r="H66" s="64">
        <v>93</v>
      </c>
      <c r="I66" s="64">
        <v>15</v>
      </c>
      <c r="J66" s="61">
        <v>134</v>
      </c>
      <c r="K66" s="61">
        <v>15</v>
      </c>
      <c r="L66" s="51">
        <v>1.4408602150000001</v>
      </c>
      <c r="M66" s="134">
        <v>0.15</v>
      </c>
      <c r="N66" s="134">
        <v>0.222985075</v>
      </c>
      <c r="O66" s="134">
        <v>0</v>
      </c>
      <c r="P66" s="134">
        <v>1.4705882E-2</v>
      </c>
      <c r="Q66" s="132">
        <f t="shared" si="5"/>
        <v>3839.5800064249997</v>
      </c>
    </row>
    <row r="67" spans="2:17" s="128" customFormat="1">
      <c r="B67" s="131">
        <f ca="1">DATE(YEAR(NOW()),MONTH(NOW())-4,15)</f>
        <v>42262</v>
      </c>
      <c r="C67" s="60">
        <v>25</v>
      </c>
      <c r="D67" s="61">
        <v>25</v>
      </c>
      <c r="E67" s="61">
        <v>34</v>
      </c>
      <c r="F67" s="61">
        <v>369</v>
      </c>
      <c r="G67" s="49">
        <v>43456</v>
      </c>
      <c r="H67" s="64">
        <v>298</v>
      </c>
      <c r="I67" s="64">
        <v>28</v>
      </c>
      <c r="J67" s="61">
        <v>337</v>
      </c>
      <c r="K67" s="61">
        <v>28</v>
      </c>
      <c r="L67" s="51">
        <v>1.1308724830000001</v>
      </c>
      <c r="M67" s="134">
        <v>0.254700855</v>
      </c>
      <c r="N67" s="134">
        <v>0.219436202</v>
      </c>
      <c r="O67" s="134">
        <v>0</v>
      </c>
      <c r="P67" s="134">
        <v>0</v>
      </c>
      <c r="Q67" s="132">
        <f t="shared" si="5"/>
        <v>25549.725025567001</v>
      </c>
    </row>
    <row r="68" spans="2:17" s="128" customFormat="1">
      <c r="B68" s="131">
        <f ca="1">DATE(YEAR(NOW()),MONTH(NOW())-5,15)</f>
        <v>42231</v>
      </c>
      <c r="C68" s="60">
        <v>14</v>
      </c>
      <c r="D68" s="61">
        <v>4</v>
      </c>
      <c r="E68" s="61">
        <v>18</v>
      </c>
      <c r="F68" s="61">
        <v>39</v>
      </c>
      <c r="G68" s="49">
        <v>63885</v>
      </c>
      <c r="H68" s="64">
        <v>33</v>
      </c>
      <c r="I68" s="64">
        <v>6</v>
      </c>
      <c r="J68" s="61">
        <v>39</v>
      </c>
      <c r="K68" s="61">
        <v>6</v>
      </c>
      <c r="L68" s="51">
        <v>1.181818182</v>
      </c>
      <c r="M68" s="134">
        <v>2.3930383999999999E-2</v>
      </c>
      <c r="N68" s="134">
        <v>0.22948717900000001</v>
      </c>
      <c r="O68" s="134">
        <v>0</v>
      </c>
      <c r="P68" s="134">
        <v>0</v>
      </c>
      <c r="Q68" s="132">
        <f t="shared" si="5"/>
        <v>375.89999920200006</v>
      </c>
    </row>
    <row r="69" spans="2:17" s="128" customFormat="1">
      <c r="B69" s="131">
        <f ca="1">DATE(YEAR(NOW()),MONTH(NOW())-6,15)</f>
        <v>42200</v>
      </c>
      <c r="C69" s="60">
        <v>40</v>
      </c>
      <c r="D69" s="61">
        <v>3</v>
      </c>
      <c r="E69" s="61">
        <v>50</v>
      </c>
      <c r="F69" s="61">
        <v>10</v>
      </c>
      <c r="G69" s="49">
        <v>77849</v>
      </c>
      <c r="H69" s="64">
        <v>147</v>
      </c>
      <c r="I69" s="64">
        <v>7</v>
      </c>
      <c r="J69" s="61">
        <v>162</v>
      </c>
      <c r="K69" s="61">
        <v>7</v>
      </c>
      <c r="L69" s="51">
        <v>1.1020408159999999</v>
      </c>
      <c r="M69" s="134">
        <v>9.5330738999999998E-2</v>
      </c>
      <c r="N69" s="134">
        <v>0.20993827200000001</v>
      </c>
      <c r="O69" s="134">
        <v>0</v>
      </c>
      <c r="P69" s="134">
        <v>0</v>
      </c>
      <c r="Q69" s="132">
        <f t="shared" si="5"/>
        <v>5492.6150103360005</v>
      </c>
    </row>
    <row r="70" spans="2:17" s="128" customFormat="1">
      <c r="B70" s="131">
        <f ca="1">DATE(YEAR(NOW()),MONTH(NOW())-7,15)</f>
        <v>42170</v>
      </c>
      <c r="C70" s="60">
        <v>38</v>
      </c>
      <c r="D70" s="61">
        <v>35</v>
      </c>
      <c r="E70" s="61">
        <v>47</v>
      </c>
      <c r="F70" s="61">
        <v>341</v>
      </c>
      <c r="G70" s="49">
        <v>43298</v>
      </c>
      <c r="H70" s="64">
        <v>131</v>
      </c>
      <c r="I70" s="64">
        <v>37</v>
      </c>
      <c r="J70" s="61">
        <v>188</v>
      </c>
      <c r="K70" s="61">
        <v>41</v>
      </c>
      <c r="L70" s="51">
        <v>1.435114504</v>
      </c>
      <c r="M70" s="134">
        <v>0.18450704200000001</v>
      </c>
      <c r="N70" s="134">
        <v>0.19276595699999999</v>
      </c>
      <c r="O70" s="134">
        <v>5.2631580000000004E-3</v>
      </c>
      <c r="P70" s="134">
        <v>5.2631580000000004E-3</v>
      </c>
      <c r="Q70" s="132">
        <f t="shared" si="5"/>
        <v>7193.6399833259993</v>
      </c>
    </row>
    <row r="71" spans="2:17">
      <c r="B71" s="131">
        <f ca="1">DATE(YEAR(NOW()),MONTH(NOW())-8,15)</f>
        <v>42139</v>
      </c>
      <c r="C71" s="60">
        <v>23</v>
      </c>
      <c r="D71" s="61">
        <v>5</v>
      </c>
      <c r="E71" s="61">
        <v>31</v>
      </c>
      <c r="F71" s="61">
        <v>26</v>
      </c>
      <c r="G71" s="49">
        <v>35632</v>
      </c>
      <c r="H71" s="64">
        <v>41</v>
      </c>
      <c r="I71" s="64">
        <v>5</v>
      </c>
      <c r="J71" s="61">
        <v>84</v>
      </c>
      <c r="K71" s="61">
        <v>5</v>
      </c>
      <c r="L71" s="51">
        <v>2.0487804879999998</v>
      </c>
      <c r="M71" s="134">
        <v>9.6698113000000002E-2</v>
      </c>
      <c r="N71" s="135">
        <v>0.22535714300000001</v>
      </c>
      <c r="O71" s="134">
        <v>2.2727272999999999E-2</v>
      </c>
      <c r="P71" s="134">
        <v>2.2727272999999999E-2</v>
      </c>
      <c r="Q71" s="132">
        <f t="shared" si="5"/>
        <v>1277.7750008099999</v>
      </c>
    </row>
    <row r="72" spans="2:17" ht="16.5" customHeight="1">
      <c r="B72" s="131">
        <f ca="1">DATE(YEAR(NOW()),MONTH(NOW())-9,15)</f>
        <v>42109</v>
      </c>
      <c r="C72" s="60">
        <v>9</v>
      </c>
      <c r="D72" s="61">
        <v>1</v>
      </c>
      <c r="E72" s="61">
        <v>11</v>
      </c>
      <c r="F72" s="61">
        <v>28</v>
      </c>
      <c r="G72" s="49">
        <v>42031</v>
      </c>
      <c r="H72" s="64">
        <v>10</v>
      </c>
      <c r="I72" s="64">
        <v>2</v>
      </c>
      <c r="J72" s="61">
        <v>31</v>
      </c>
      <c r="K72" s="100">
        <v>2</v>
      </c>
      <c r="L72" s="54">
        <v>3.1</v>
      </c>
      <c r="M72" s="134">
        <v>2.5641026000000001E-2</v>
      </c>
      <c r="N72" s="135">
        <v>0.26709677399999998</v>
      </c>
      <c r="O72" s="134">
        <v>0</v>
      </c>
      <c r="P72" s="134">
        <v>0</v>
      </c>
      <c r="Q72" s="132">
        <f t="shared" si="5"/>
        <v>186.29999986499996</v>
      </c>
    </row>
    <row r="73" spans="2:17" ht="15.75" thickBot="1">
      <c r="B73" s="131">
        <f ca="1">DATE(YEAR(NOW()),MONTH(NOW())-10,15)</f>
        <v>42078</v>
      </c>
      <c r="C73" s="60">
        <v>21</v>
      </c>
      <c r="D73" s="61">
        <v>7</v>
      </c>
      <c r="E73" s="61">
        <v>30</v>
      </c>
      <c r="F73" s="61">
        <v>13</v>
      </c>
      <c r="G73" s="49">
        <v>54499</v>
      </c>
      <c r="H73" s="64">
        <v>8</v>
      </c>
      <c r="I73" s="64">
        <v>7</v>
      </c>
      <c r="J73" s="61">
        <v>37</v>
      </c>
      <c r="K73" s="100">
        <v>7</v>
      </c>
      <c r="L73" s="55">
        <v>4.625</v>
      </c>
      <c r="M73" s="134">
        <v>1.4109347E-2</v>
      </c>
      <c r="N73" s="136">
        <v>0.242432432</v>
      </c>
      <c r="O73" s="134">
        <v>0.17910447800000001</v>
      </c>
      <c r="P73" s="134">
        <v>0.20895522399999999</v>
      </c>
      <c r="Q73" s="132">
        <f t="shared" si="5"/>
        <v>264.614999528</v>
      </c>
    </row>
    <row r="74" spans="2:17">
      <c r="B74" s="130" t="str">
        <f>L163</f>
        <v>Islamabad - Lahore</v>
      </c>
      <c r="C74" s="57"/>
      <c r="D74" s="58"/>
      <c r="E74" s="58"/>
      <c r="F74" s="58"/>
      <c r="G74" s="59"/>
      <c r="H74" s="58"/>
      <c r="I74" s="58"/>
      <c r="J74" s="58"/>
      <c r="K74" s="58"/>
      <c r="L74" s="58"/>
      <c r="M74" s="58"/>
      <c r="N74" s="58"/>
      <c r="O74" s="58"/>
      <c r="P74" s="58"/>
      <c r="Q74" s="59"/>
    </row>
    <row r="75" spans="2:17" s="128" customFormat="1">
      <c r="B75" s="131">
        <f ca="1">DATE(YEAR(NOW()),MONTH(NOW())-1,15)</f>
        <v>42353</v>
      </c>
      <c r="C75" s="60">
        <v>101</v>
      </c>
      <c r="D75" s="61">
        <v>109</v>
      </c>
      <c r="E75" s="61">
        <v>211</v>
      </c>
      <c r="F75" s="61">
        <v>265</v>
      </c>
      <c r="G75" s="49">
        <v>201517</v>
      </c>
      <c r="H75" s="64">
        <v>122</v>
      </c>
      <c r="I75" s="64">
        <v>118</v>
      </c>
      <c r="J75" s="61">
        <v>273</v>
      </c>
      <c r="K75" s="61">
        <v>166</v>
      </c>
      <c r="L75" s="51">
        <v>2.2377049179999999</v>
      </c>
      <c r="M75" s="134">
        <v>0.68926553700000004</v>
      </c>
      <c r="N75" s="134">
        <v>3.8677289379999999</v>
      </c>
      <c r="O75" s="134">
        <v>8.7403598999999998E-2</v>
      </c>
      <c r="P75" s="134">
        <v>0.13110539800000001</v>
      </c>
      <c r="Q75" s="132">
        <f t="shared" ref="Q75:Q84" si="6">(((H75+I75)+(J75+K75))/2)*(N75*J75)</f>
        <v>358474.65502512298</v>
      </c>
    </row>
    <row r="76" spans="2:17" s="128" customFormat="1">
      <c r="B76" s="131">
        <f ca="1">DATE(YEAR(NOW()),MONTH(NOW())-2,15)</f>
        <v>42323</v>
      </c>
      <c r="C76" s="60">
        <v>78</v>
      </c>
      <c r="D76" s="61">
        <v>88</v>
      </c>
      <c r="E76" s="61">
        <v>153</v>
      </c>
      <c r="F76" s="61">
        <v>194</v>
      </c>
      <c r="G76" s="49">
        <v>169342</v>
      </c>
      <c r="H76" s="64">
        <v>89</v>
      </c>
      <c r="I76" s="64">
        <v>85</v>
      </c>
      <c r="J76" s="61">
        <v>216</v>
      </c>
      <c r="K76" s="61">
        <v>136</v>
      </c>
      <c r="L76" s="51">
        <v>2.4269662919999999</v>
      </c>
      <c r="M76" s="134">
        <v>0.63571428600000002</v>
      </c>
      <c r="N76" s="134">
        <v>3.8489351850000002</v>
      </c>
      <c r="O76" s="134">
        <v>4.7101448999999997E-2</v>
      </c>
      <c r="P76" s="134">
        <v>0.108695652</v>
      </c>
      <c r="Q76" s="132">
        <f t="shared" si="6"/>
        <v>218650.30998948001</v>
      </c>
    </row>
    <row r="77" spans="2:17" s="128" customFormat="1">
      <c r="B77" s="131">
        <f ca="1">DATE(YEAR(NOW()),MONTH(NOW())-3,15)</f>
        <v>42292</v>
      </c>
      <c r="C77" s="60">
        <v>114</v>
      </c>
      <c r="D77" s="61">
        <v>83</v>
      </c>
      <c r="E77" s="61">
        <v>159</v>
      </c>
      <c r="F77" s="61">
        <v>160</v>
      </c>
      <c r="G77" s="49">
        <v>196680</v>
      </c>
      <c r="H77" s="64">
        <v>87</v>
      </c>
      <c r="I77" s="64">
        <v>85</v>
      </c>
      <c r="J77" s="61">
        <v>174</v>
      </c>
      <c r="K77" s="61">
        <v>123</v>
      </c>
      <c r="L77" s="51">
        <v>2</v>
      </c>
      <c r="M77" s="134">
        <v>0.56129032300000004</v>
      </c>
      <c r="N77" s="134">
        <v>3.871436782</v>
      </c>
      <c r="O77" s="134">
        <v>7.0484581000000004E-2</v>
      </c>
      <c r="P77" s="134">
        <v>0.12775330400000001</v>
      </c>
      <c r="Q77" s="132">
        <f t="shared" si="6"/>
        <v>157966.235015946</v>
      </c>
    </row>
    <row r="78" spans="2:17" s="128" customFormat="1">
      <c r="B78" s="131">
        <f ca="1">DATE(YEAR(NOW()),MONTH(NOW())-4,15)</f>
        <v>42262</v>
      </c>
      <c r="C78" s="60">
        <v>89</v>
      </c>
      <c r="D78" s="61">
        <v>89</v>
      </c>
      <c r="E78" s="61">
        <v>144</v>
      </c>
      <c r="F78" s="61">
        <v>158</v>
      </c>
      <c r="G78" s="49">
        <v>147222</v>
      </c>
      <c r="H78" s="64">
        <v>73</v>
      </c>
      <c r="I78" s="64">
        <v>71</v>
      </c>
      <c r="J78" s="61">
        <v>143</v>
      </c>
      <c r="K78" s="61">
        <v>112</v>
      </c>
      <c r="L78" s="51">
        <v>1.95890411</v>
      </c>
      <c r="M78" s="134">
        <v>0.54074074100000002</v>
      </c>
      <c r="N78" s="134">
        <v>3.884125874</v>
      </c>
      <c r="O78" s="134">
        <v>9.7087379000000001E-2</v>
      </c>
      <c r="P78" s="134">
        <v>0.17475728200000001</v>
      </c>
      <c r="Q78" s="132">
        <f t="shared" si="6"/>
        <v>110808.284996409</v>
      </c>
    </row>
    <row r="79" spans="2:17" s="128" customFormat="1">
      <c r="B79" s="131">
        <f ca="1">DATE(YEAR(NOW()),MONTH(NOW())-5,15)</f>
        <v>42231</v>
      </c>
      <c r="C79" s="60">
        <v>72</v>
      </c>
      <c r="D79" s="61">
        <v>49</v>
      </c>
      <c r="E79" s="61">
        <v>93</v>
      </c>
      <c r="F79" s="61">
        <v>81</v>
      </c>
      <c r="G79" s="49">
        <v>81798</v>
      </c>
      <c r="H79" s="64">
        <v>40</v>
      </c>
      <c r="I79" s="64">
        <v>39</v>
      </c>
      <c r="J79" s="61">
        <v>84</v>
      </c>
      <c r="K79" s="61">
        <v>55</v>
      </c>
      <c r="L79" s="51">
        <v>2.1</v>
      </c>
      <c r="M79" s="134">
        <v>0.5</v>
      </c>
      <c r="N79" s="134">
        <v>3.8676190479999999</v>
      </c>
      <c r="O79" s="134">
        <v>9.7560975999999994E-2</v>
      </c>
      <c r="P79" s="134">
        <v>0.18699187</v>
      </c>
      <c r="Q79" s="132">
        <f t="shared" si="6"/>
        <v>35411.920003487998</v>
      </c>
    </row>
    <row r="80" spans="2:17" s="128" customFormat="1">
      <c r="B80" s="131">
        <f ca="1">DATE(YEAR(NOW()),MONTH(NOW())-6,15)</f>
        <v>42200</v>
      </c>
      <c r="C80" s="60">
        <v>20</v>
      </c>
      <c r="D80" s="61">
        <v>6</v>
      </c>
      <c r="E80" s="61">
        <v>29</v>
      </c>
      <c r="F80" s="61">
        <v>10</v>
      </c>
      <c r="G80" s="49">
        <v>43772</v>
      </c>
      <c r="H80" s="64">
        <v>5</v>
      </c>
      <c r="I80" s="64">
        <v>5</v>
      </c>
      <c r="J80" s="61">
        <v>11</v>
      </c>
      <c r="K80" s="61">
        <v>7</v>
      </c>
      <c r="L80" s="51">
        <v>2.2000000000000002</v>
      </c>
      <c r="M80" s="134">
        <v>0.12195122</v>
      </c>
      <c r="N80" s="134">
        <v>3.7636363639999999</v>
      </c>
      <c r="O80" s="134">
        <v>0.133333333</v>
      </c>
      <c r="P80" s="134">
        <v>0.133333333</v>
      </c>
      <c r="Q80" s="132">
        <f t="shared" si="6"/>
        <v>579.600000056</v>
      </c>
    </row>
    <row r="81" spans="2:17" s="128" customFormat="1">
      <c r="B81" s="131">
        <f ca="1">DATE(YEAR(NOW()),MONTH(NOW())-7,15)</f>
        <v>42170</v>
      </c>
      <c r="C81" s="60">
        <v>14</v>
      </c>
      <c r="D81" s="61">
        <v>12</v>
      </c>
      <c r="E81" s="61">
        <v>20</v>
      </c>
      <c r="F81" s="61">
        <v>14</v>
      </c>
      <c r="G81" s="49">
        <v>19621</v>
      </c>
      <c r="H81" s="64">
        <v>8</v>
      </c>
      <c r="I81" s="64">
        <v>8</v>
      </c>
      <c r="J81" s="61">
        <v>20</v>
      </c>
      <c r="K81" s="61">
        <v>13</v>
      </c>
      <c r="L81" s="51">
        <v>2.5</v>
      </c>
      <c r="M81" s="134">
        <v>0.47058823500000002</v>
      </c>
      <c r="N81" s="134">
        <v>3.8424999999999998</v>
      </c>
      <c r="O81" s="134">
        <v>0</v>
      </c>
      <c r="P81" s="134">
        <v>4.7619047999999997E-2</v>
      </c>
      <c r="Q81" s="132">
        <f t="shared" si="6"/>
        <v>1882.8249999999998</v>
      </c>
    </row>
    <row r="82" spans="2:17">
      <c r="B82" s="131">
        <f ca="1">DATE(YEAR(NOW()),MONTH(NOW())-8,15)</f>
        <v>42139</v>
      </c>
      <c r="C82" s="60">
        <v>12</v>
      </c>
      <c r="D82" s="61">
        <v>5</v>
      </c>
      <c r="E82" s="61">
        <v>15</v>
      </c>
      <c r="F82" s="61">
        <v>5</v>
      </c>
      <c r="G82" s="49">
        <v>43411</v>
      </c>
      <c r="H82" s="64">
        <v>5</v>
      </c>
      <c r="I82" s="64">
        <v>5</v>
      </c>
      <c r="J82" s="61">
        <v>6</v>
      </c>
      <c r="K82" s="61">
        <v>5</v>
      </c>
      <c r="L82" s="51">
        <v>1.2</v>
      </c>
      <c r="M82" s="134">
        <v>0.1</v>
      </c>
      <c r="N82" s="135">
        <v>3.8250000000000002</v>
      </c>
      <c r="O82" s="134">
        <v>0</v>
      </c>
      <c r="P82" s="134">
        <v>0</v>
      </c>
      <c r="Q82" s="132">
        <f t="shared" si="6"/>
        <v>240.97500000000002</v>
      </c>
    </row>
    <row r="83" spans="2:17">
      <c r="B83" s="131">
        <f ca="1">DATE(YEAR(NOW()),MONTH(NOW())-9,15)</f>
        <v>42109</v>
      </c>
      <c r="C83" s="60">
        <v>10</v>
      </c>
      <c r="D83" s="61">
        <v>6</v>
      </c>
      <c r="E83" s="61">
        <v>16</v>
      </c>
      <c r="F83" s="61">
        <v>7</v>
      </c>
      <c r="G83" s="49">
        <v>19019</v>
      </c>
      <c r="H83" s="64">
        <v>4</v>
      </c>
      <c r="I83" s="64">
        <v>4</v>
      </c>
      <c r="J83" s="61">
        <v>5</v>
      </c>
      <c r="K83" s="100">
        <v>4</v>
      </c>
      <c r="L83" s="54">
        <v>1.25</v>
      </c>
      <c r="M83" s="134">
        <v>0.235294118</v>
      </c>
      <c r="N83" s="135">
        <v>3.5219999999999998</v>
      </c>
      <c r="O83" s="134">
        <v>0.2</v>
      </c>
      <c r="P83" s="134">
        <v>0.3</v>
      </c>
      <c r="Q83" s="132">
        <f t="shared" si="6"/>
        <v>149.685</v>
      </c>
    </row>
    <row r="84" spans="2:17" ht="15.75" thickBot="1">
      <c r="B84" s="131">
        <f ca="1">DATE(YEAR(NOW()),MONTH(NOW())-10,15)</f>
        <v>42078</v>
      </c>
      <c r="C84" s="60">
        <v>14</v>
      </c>
      <c r="D84" s="61">
        <v>5</v>
      </c>
      <c r="E84" s="61">
        <v>16</v>
      </c>
      <c r="F84" s="61">
        <v>5</v>
      </c>
      <c r="G84" s="49">
        <v>22697</v>
      </c>
      <c r="H84" s="64">
        <v>4</v>
      </c>
      <c r="I84" s="64">
        <v>4</v>
      </c>
      <c r="J84" s="61">
        <v>18</v>
      </c>
      <c r="K84" s="100">
        <v>4</v>
      </c>
      <c r="L84" s="55">
        <v>4.5</v>
      </c>
      <c r="M84" s="134">
        <v>0.21052631599999999</v>
      </c>
      <c r="N84" s="136">
        <v>3.2855555559999998</v>
      </c>
      <c r="O84" s="134">
        <v>0.05</v>
      </c>
      <c r="P84" s="134">
        <v>0.05</v>
      </c>
      <c r="Q84" s="132">
        <f t="shared" si="6"/>
        <v>887.10000011999989</v>
      </c>
    </row>
    <row r="85" spans="2:17">
      <c r="B85" s="130" t="str">
        <f>L164</f>
        <v>Islamabad - Islamabad</v>
      </c>
      <c r="C85" s="57"/>
      <c r="D85" s="58"/>
      <c r="E85" s="58"/>
      <c r="F85" s="58"/>
      <c r="G85" s="59"/>
      <c r="H85" s="58"/>
      <c r="I85" s="58"/>
      <c r="J85" s="58"/>
      <c r="K85" s="58"/>
      <c r="L85" s="58"/>
      <c r="M85" s="58"/>
      <c r="N85" s="58"/>
      <c r="O85" s="58"/>
      <c r="P85" s="58"/>
      <c r="Q85" s="59"/>
    </row>
    <row r="86" spans="2:17" s="128" customFormat="1">
      <c r="B86" s="131">
        <f ca="1">DATE(YEAR(NOW()),MONTH(NOW())-1,15)</f>
        <v>42353</v>
      </c>
      <c r="C86" s="60">
        <v>19</v>
      </c>
      <c r="D86" s="61">
        <v>13</v>
      </c>
      <c r="E86" s="61">
        <v>40</v>
      </c>
      <c r="F86" s="61">
        <v>68</v>
      </c>
      <c r="G86" s="72">
        <v>118754</v>
      </c>
      <c r="H86" s="64">
        <v>44</v>
      </c>
      <c r="I86" s="64">
        <v>16</v>
      </c>
      <c r="J86" s="61">
        <v>131</v>
      </c>
      <c r="K86" s="61">
        <v>17</v>
      </c>
      <c r="L86" s="51">
        <v>2.9772727269999999</v>
      </c>
      <c r="M86" s="134">
        <v>2.3342175E-2</v>
      </c>
      <c r="N86" s="134">
        <v>0.10053435099999999</v>
      </c>
      <c r="O86" s="134">
        <v>4.0540540999999999E-2</v>
      </c>
      <c r="P86" s="134">
        <v>7.4324323999999997E-2</v>
      </c>
      <c r="Q86" s="132">
        <f>(((H86+I86)+(J86+K86))/2)*(N86*J86)</f>
        <v>1369.6799980239998</v>
      </c>
    </row>
    <row r="87" spans="2:17" s="128" customFormat="1">
      <c r="B87" s="131">
        <f ca="1">DATE(YEAR(NOW()),MONTH(NOW())-2,15)</f>
        <v>42323</v>
      </c>
      <c r="C87" s="60">
        <v>7</v>
      </c>
      <c r="D87" s="61"/>
      <c r="E87" s="61">
        <v>14</v>
      </c>
      <c r="F87" s="61"/>
      <c r="G87" s="72">
        <v>41623</v>
      </c>
      <c r="H87" s="64">
        <v>3</v>
      </c>
      <c r="I87" s="64">
        <v>3</v>
      </c>
      <c r="J87" s="61">
        <v>3</v>
      </c>
      <c r="K87" s="61">
        <v>3</v>
      </c>
      <c r="L87" s="51">
        <v>1</v>
      </c>
      <c r="M87" s="134">
        <v>3.7546929999999999E-3</v>
      </c>
      <c r="N87" s="134">
        <v>2.3333333000000001E-2</v>
      </c>
      <c r="O87" s="134">
        <v>0</v>
      </c>
      <c r="P87" s="134">
        <v>0</v>
      </c>
      <c r="Q87" s="132">
        <f t="shared" ref="Q87:Q95" si="7">(((H87+I87)+(J87+K87))/2)*(N87*J87)</f>
        <v>0.41999999400000004</v>
      </c>
    </row>
    <row r="88" spans="2:17" s="128" customFormat="1">
      <c r="B88" s="131">
        <f ca="1">DATE(YEAR(NOW()),MONTH(NOW())-3,15)</f>
        <v>42292</v>
      </c>
      <c r="C88" s="60">
        <v>13</v>
      </c>
      <c r="D88" s="61">
        <v>14</v>
      </c>
      <c r="E88" s="61">
        <v>26</v>
      </c>
      <c r="F88" s="61">
        <v>106</v>
      </c>
      <c r="G88" s="72">
        <v>31930</v>
      </c>
      <c r="H88" s="64">
        <v>100</v>
      </c>
      <c r="I88" s="64">
        <v>25</v>
      </c>
      <c r="J88" s="61">
        <v>182</v>
      </c>
      <c r="K88" s="61">
        <v>25</v>
      </c>
      <c r="L88" s="51">
        <v>1.82</v>
      </c>
      <c r="M88" s="134">
        <v>0.125156446</v>
      </c>
      <c r="N88" s="134">
        <v>0.11043956000000001</v>
      </c>
      <c r="O88" s="134">
        <v>0</v>
      </c>
      <c r="P88" s="134">
        <v>2.1505376E-2</v>
      </c>
      <c r="Q88" s="132">
        <f t="shared" si="7"/>
        <v>3336.5999867200003</v>
      </c>
    </row>
    <row r="89" spans="2:17" s="128" customFormat="1">
      <c r="B89" s="131">
        <f ca="1">DATE(YEAR(NOW()),MONTH(NOW())-4,15)</f>
        <v>42262</v>
      </c>
      <c r="C89" s="60">
        <v>10</v>
      </c>
      <c r="D89" s="61">
        <v>8</v>
      </c>
      <c r="E89" s="61">
        <v>26</v>
      </c>
      <c r="F89" s="61">
        <v>119</v>
      </c>
      <c r="G89" s="72">
        <v>37963</v>
      </c>
      <c r="H89" s="64">
        <v>102</v>
      </c>
      <c r="I89" s="64">
        <v>10</v>
      </c>
      <c r="J89" s="61">
        <v>109</v>
      </c>
      <c r="K89" s="61">
        <v>11</v>
      </c>
      <c r="L89" s="51">
        <v>1.068627451</v>
      </c>
      <c r="M89" s="134">
        <v>9.3321134E-2</v>
      </c>
      <c r="N89" s="134">
        <v>0.22183486199999999</v>
      </c>
      <c r="O89" s="134">
        <v>0</v>
      </c>
      <c r="P89" s="134">
        <v>0</v>
      </c>
      <c r="Q89" s="132">
        <f t="shared" si="7"/>
        <v>2804.8799951279998</v>
      </c>
    </row>
    <row r="90" spans="2:17" s="128" customFormat="1">
      <c r="B90" s="131">
        <f ca="1">DATE(YEAR(NOW()),MONTH(NOW())-5,15)</f>
        <v>42231</v>
      </c>
      <c r="C90" s="60">
        <v>18</v>
      </c>
      <c r="D90" s="61">
        <v>3</v>
      </c>
      <c r="E90" s="61">
        <v>30</v>
      </c>
      <c r="F90" s="61">
        <v>74</v>
      </c>
      <c r="G90" s="72">
        <v>101787</v>
      </c>
      <c r="H90" s="64">
        <v>142</v>
      </c>
      <c r="I90" s="64">
        <v>11</v>
      </c>
      <c r="J90" s="61">
        <v>148</v>
      </c>
      <c r="K90" s="61">
        <v>12</v>
      </c>
      <c r="L90" s="51">
        <v>1.0422535209999999</v>
      </c>
      <c r="M90" s="134">
        <v>4.9186005999999997E-2</v>
      </c>
      <c r="N90" s="134">
        <v>7.5202702999999996E-2</v>
      </c>
      <c r="O90" s="134">
        <v>0</v>
      </c>
      <c r="P90" s="134">
        <v>0</v>
      </c>
      <c r="Q90" s="132">
        <f t="shared" si="7"/>
        <v>1741.845006886</v>
      </c>
    </row>
    <row r="91" spans="2:17" s="128" customFormat="1">
      <c r="B91" s="131">
        <f ca="1">DATE(YEAR(NOW()),MONTH(NOW())-6,15)</f>
        <v>42200</v>
      </c>
      <c r="C91" s="60">
        <v>66</v>
      </c>
      <c r="D91" s="61">
        <v>19</v>
      </c>
      <c r="E91" s="61">
        <v>102</v>
      </c>
      <c r="F91" s="61">
        <v>162</v>
      </c>
      <c r="G91" s="72">
        <v>150281</v>
      </c>
      <c r="H91" s="64">
        <v>562</v>
      </c>
      <c r="I91" s="64">
        <v>25</v>
      </c>
      <c r="J91" s="61">
        <v>729</v>
      </c>
      <c r="K91" s="61">
        <v>31</v>
      </c>
      <c r="L91" s="51">
        <v>1.2971530250000001</v>
      </c>
      <c r="M91" s="134">
        <v>0.14563358400000001</v>
      </c>
      <c r="N91" s="134">
        <v>0.14573388200000001</v>
      </c>
      <c r="O91" s="134">
        <v>0</v>
      </c>
      <c r="P91" s="134">
        <v>0</v>
      </c>
      <c r="Q91" s="132">
        <f t="shared" si="7"/>
        <v>71552.639985183007</v>
      </c>
    </row>
    <row r="92" spans="2:17" s="128" customFormat="1">
      <c r="B92" s="131">
        <f ca="1">DATE(YEAR(NOW()),MONTH(NOW())-7,15)</f>
        <v>42170</v>
      </c>
      <c r="C92" s="60">
        <v>59</v>
      </c>
      <c r="D92" s="61">
        <v>58</v>
      </c>
      <c r="E92" s="61">
        <v>106</v>
      </c>
      <c r="F92" s="61">
        <v>1165</v>
      </c>
      <c r="G92" s="72">
        <v>90191</v>
      </c>
      <c r="H92" s="64">
        <v>395</v>
      </c>
      <c r="I92" s="64">
        <v>81</v>
      </c>
      <c r="J92" s="61">
        <v>648</v>
      </c>
      <c r="K92" s="61">
        <v>77</v>
      </c>
      <c r="L92" s="51">
        <v>1.6405063289999999</v>
      </c>
      <c r="M92" s="134">
        <v>0.18086080600000001</v>
      </c>
      <c r="N92" s="134">
        <v>0.122376543</v>
      </c>
      <c r="O92" s="134">
        <v>0</v>
      </c>
      <c r="P92" s="134">
        <v>0</v>
      </c>
      <c r="Q92" s="132">
        <f t="shared" si="7"/>
        <v>47619.649918331997</v>
      </c>
    </row>
    <row r="93" spans="2:17">
      <c r="B93" s="131">
        <f ca="1">DATE(YEAR(NOW()),MONTH(NOW())-8,15)</f>
        <v>42139</v>
      </c>
      <c r="C93" s="60">
        <v>26</v>
      </c>
      <c r="D93" s="61">
        <v>4</v>
      </c>
      <c r="E93" s="61">
        <v>45</v>
      </c>
      <c r="F93" s="61">
        <v>36</v>
      </c>
      <c r="G93" s="72">
        <v>94760</v>
      </c>
      <c r="H93" s="64">
        <v>33</v>
      </c>
      <c r="I93" s="64">
        <v>3</v>
      </c>
      <c r="J93" s="61">
        <v>42</v>
      </c>
      <c r="K93" s="61">
        <v>4</v>
      </c>
      <c r="L93" s="51">
        <v>1.2727272730000001</v>
      </c>
      <c r="M93" s="134">
        <v>2.5943396000000001E-2</v>
      </c>
      <c r="N93" s="135">
        <v>7.7857143000000004E-2</v>
      </c>
      <c r="O93" s="134">
        <v>0.109090909</v>
      </c>
      <c r="P93" s="134">
        <v>0.127272727</v>
      </c>
      <c r="Q93" s="132">
        <f t="shared" si="7"/>
        <v>134.07000024600001</v>
      </c>
    </row>
    <row r="94" spans="2:17">
      <c r="B94" s="131">
        <f ca="1">DATE(YEAR(NOW()),MONTH(NOW())-9,15)</f>
        <v>42109</v>
      </c>
      <c r="C94" s="60">
        <v>10</v>
      </c>
      <c r="D94" s="61">
        <v>4</v>
      </c>
      <c r="E94" s="61">
        <v>15</v>
      </c>
      <c r="F94" s="61">
        <v>39</v>
      </c>
      <c r="G94" s="72">
        <v>145876</v>
      </c>
      <c r="H94" s="64">
        <v>46</v>
      </c>
      <c r="I94" s="64">
        <v>4</v>
      </c>
      <c r="J94" s="61">
        <v>125</v>
      </c>
      <c r="K94" s="61">
        <v>5</v>
      </c>
      <c r="L94" s="51">
        <v>2.717391304</v>
      </c>
      <c r="M94" s="134">
        <v>2.5755878999999999E-2</v>
      </c>
      <c r="N94" s="135">
        <v>8.1600000000000006E-2</v>
      </c>
      <c r="O94" s="134">
        <v>0</v>
      </c>
      <c r="P94" s="134">
        <v>5.3030303000000001E-2</v>
      </c>
      <c r="Q94" s="132">
        <f t="shared" si="7"/>
        <v>918.00000000000011</v>
      </c>
    </row>
    <row r="95" spans="2:17" ht="15.75" thickBot="1">
      <c r="B95" s="131">
        <f ca="1">DATE(YEAR(NOW()),MONTH(NOW())-10,15)</f>
        <v>42078</v>
      </c>
      <c r="C95" s="60">
        <v>31</v>
      </c>
      <c r="D95" s="61">
        <v>13</v>
      </c>
      <c r="E95" s="61">
        <v>111</v>
      </c>
      <c r="F95" s="61">
        <v>77</v>
      </c>
      <c r="G95" s="72">
        <v>127058</v>
      </c>
      <c r="H95" s="64">
        <v>57</v>
      </c>
      <c r="I95" s="64">
        <v>23</v>
      </c>
      <c r="J95" s="61">
        <v>201</v>
      </c>
      <c r="K95" s="100">
        <v>25</v>
      </c>
      <c r="L95" s="54">
        <v>3.5263157889999999</v>
      </c>
      <c r="M95" s="134">
        <v>3.2534247000000002E-2</v>
      </c>
      <c r="N95" s="136">
        <v>9.0696517000000004E-2</v>
      </c>
      <c r="O95" s="134">
        <v>2.8846153999999999E-2</v>
      </c>
      <c r="P95" s="134">
        <v>4.8076919999999997E-3</v>
      </c>
      <c r="Q95" s="132">
        <f t="shared" si="7"/>
        <v>2789.1899873010002</v>
      </c>
    </row>
    <row r="96" spans="2:17">
      <c r="B96" s="130" t="str">
        <f>L165</f>
        <v>Hyderabad - Hyderabad</v>
      </c>
      <c r="C96" s="57"/>
      <c r="D96" s="58"/>
      <c r="E96" s="58"/>
      <c r="F96" s="58"/>
      <c r="G96" s="59"/>
      <c r="H96" s="58"/>
      <c r="I96" s="58"/>
      <c r="J96" s="58"/>
      <c r="K96" s="58"/>
      <c r="L96" s="58"/>
      <c r="M96" s="58"/>
      <c r="N96" s="58"/>
      <c r="O96" s="58"/>
      <c r="P96" s="58"/>
      <c r="Q96" s="59"/>
    </row>
    <row r="97" spans="2:17" s="128" customFormat="1">
      <c r="B97" s="131">
        <f ca="1">DATE(YEAR(NOW()),MONTH(NOW())-1,15)</f>
        <v>42353</v>
      </c>
      <c r="C97" s="60">
        <v>137</v>
      </c>
      <c r="D97" s="61">
        <v>124</v>
      </c>
      <c r="E97" s="61">
        <v>525</v>
      </c>
      <c r="F97" s="61">
        <v>2411</v>
      </c>
      <c r="G97" s="49">
        <v>73683</v>
      </c>
      <c r="H97" s="64">
        <v>777</v>
      </c>
      <c r="I97" s="64">
        <v>657</v>
      </c>
      <c r="J97" s="61">
        <v>2575</v>
      </c>
      <c r="K97" s="61">
        <v>1731</v>
      </c>
      <c r="L97" s="51">
        <v>3.3140283140000002</v>
      </c>
      <c r="M97" s="134">
        <v>0.23863636399999999</v>
      </c>
      <c r="N97" s="134">
        <v>4.4842717999999997E-2</v>
      </c>
      <c r="O97" s="134">
        <v>8.3222369999999997E-3</v>
      </c>
      <c r="P97" s="134">
        <v>0.129826897</v>
      </c>
      <c r="Q97" s="132">
        <f t="shared" ref="Q97:Q106" si="8">(((H97+I97)+(J97+K97))/2)*(N97*J97)</f>
        <v>331398.89669949998</v>
      </c>
    </row>
    <row r="98" spans="2:17" s="128" customFormat="1">
      <c r="B98" s="131">
        <f ca="1">DATE(YEAR(NOW()),MONTH(NOW())-2,15)</f>
        <v>42323</v>
      </c>
      <c r="C98" s="60">
        <v>26</v>
      </c>
      <c r="D98" s="61">
        <v>26</v>
      </c>
      <c r="E98" s="61">
        <v>75</v>
      </c>
      <c r="F98" s="61">
        <v>159</v>
      </c>
      <c r="G98" s="49">
        <v>40315</v>
      </c>
      <c r="H98" s="64">
        <v>207</v>
      </c>
      <c r="I98" s="64">
        <v>76</v>
      </c>
      <c r="J98" s="61">
        <v>817</v>
      </c>
      <c r="K98" s="61">
        <v>117</v>
      </c>
      <c r="L98" s="51">
        <v>3.946859903</v>
      </c>
      <c r="M98" s="134">
        <v>0.170933113</v>
      </c>
      <c r="N98" s="134">
        <v>4.5960832E-2</v>
      </c>
      <c r="O98" s="134">
        <v>0.222523745</v>
      </c>
      <c r="P98" s="134">
        <v>0.223202171</v>
      </c>
      <c r="Q98" s="132">
        <f t="shared" si="8"/>
        <v>22849.174844223999</v>
      </c>
    </row>
    <row r="99" spans="2:17" s="128" customFormat="1">
      <c r="B99" s="131">
        <f ca="1">DATE(YEAR(NOW()),MONTH(NOW())-3,15)</f>
        <v>42292</v>
      </c>
      <c r="C99" s="60">
        <v>32</v>
      </c>
      <c r="D99" s="61">
        <v>37</v>
      </c>
      <c r="E99" s="61">
        <v>273</v>
      </c>
      <c r="F99" s="61">
        <v>588</v>
      </c>
      <c r="G99" s="49">
        <v>50630</v>
      </c>
      <c r="H99" s="64">
        <v>120</v>
      </c>
      <c r="I99" s="64">
        <v>70</v>
      </c>
      <c r="J99" s="61">
        <v>434</v>
      </c>
      <c r="K99" s="61">
        <v>121</v>
      </c>
      <c r="L99" s="51">
        <v>3.6166666670000001</v>
      </c>
      <c r="M99" s="134">
        <v>0.115718419</v>
      </c>
      <c r="N99" s="134">
        <v>5.0691244000000003E-2</v>
      </c>
      <c r="O99" s="134">
        <v>0</v>
      </c>
      <c r="P99" s="134">
        <v>0.58067632899999999</v>
      </c>
      <c r="Q99" s="132">
        <f t="shared" si="8"/>
        <v>8194.9999612600004</v>
      </c>
    </row>
    <row r="100" spans="2:17" s="128" customFormat="1">
      <c r="B100" s="131">
        <f ca="1">DATE(YEAR(NOW()),MONTH(NOW())-4,15)</f>
        <v>42262</v>
      </c>
      <c r="C100" s="60">
        <v>17</v>
      </c>
      <c r="D100" s="61">
        <v>18</v>
      </c>
      <c r="E100" s="61">
        <v>67</v>
      </c>
      <c r="F100" s="61">
        <v>43</v>
      </c>
      <c r="G100" s="49">
        <v>28919</v>
      </c>
      <c r="H100" s="64">
        <v>30</v>
      </c>
      <c r="I100" s="64">
        <v>14</v>
      </c>
      <c r="J100" s="61">
        <v>52</v>
      </c>
      <c r="K100" s="61">
        <v>20</v>
      </c>
      <c r="L100" s="51">
        <v>1.733333333</v>
      </c>
      <c r="M100" s="134">
        <v>3.6275694999999997E-2</v>
      </c>
      <c r="N100" s="134">
        <v>3.4230769000000001E-2</v>
      </c>
      <c r="O100" s="134">
        <v>1.8181817999999999E-2</v>
      </c>
      <c r="P100" s="134">
        <v>3.6363635999999998E-2</v>
      </c>
      <c r="Q100" s="132">
        <f t="shared" si="8"/>
        <v>103.23999930400001</v>
      </c>
    </row>
    <row r="101" spans="2:17" s="128" customFormat="1">
      <c r="B101" s="131">
        <f ca="1">DATE(YEAR(NOW()),MONTH(NOW())-5,15)</f>
        <v>42231</v>
      </c>
      <c r="C101" s="60">
        <v>4</v>
      </c>
      <c r="D101" s="61"/>
      <c r="E101" s="61">
        <v>6</v>
      </c>
      <c r="F101" s="61"/>
      <c r="G101" s="49">
        <v>22398</v>
      </c>
      <c r="H101" s="64"/>
      <c r="I101" s="64"/>
      <c r="J101" s="61"/>
      <c r="K101" s="61"/>
      <c r="L101" s="51"/>
      <c r="M101" s="134">
        <v>0</v>
      </c>
      <c r="N101" s="134">
        <v>0</v>
      </c>
      <c r="O101" s="134">
        <v>0.5</v>
      </c>
      <c r="P101" s="134">
        <v>0.5</v>
      </c>
      <c r="Q101" s="132">
        <f t="shared" si="8"/>
        <v>0</v>
      </c>
    </row>
    <row r="102" spans="2:17" s="128" customFormat="1">
      <c r="B102" s="131">
        <f ca="1">DATE(YEAR(NOW()),MONTH(NOW())-6,15)</f>
        <v>42200</v>
      </c>
      <c r="C102" s="60">
        <v>2</v>
      </c>
      <c r="D102" s="61">
        <v>3</v>
      </c>
      <c r="E102" s="61">
        <v>5</v>
      </c>
      <c r="F102" s="61">
        <v>6</v>
      </c>
      <c r="G102" s="49">
        <v>71181</v>
      </c>
      <c r="H102" s="64">
        <v>84</v>
      </c>
      <c r="I102" s="64">
        <v>6</v>
      </c>
      <c r="J102" s="61">
        <v>134</v>
      </c>
      <c r="K102" s="61">
        <v>6</v>
      </c>
      <c r="L102" s="51">
        <v>1.595238095</v>
      </c>
      <c r="M102" s="134">
        <v>3.9961941000000001E-2</v>
      </c>
      <c r="N102" s="134">
        <v>3.9179103999999999E-2</v>
      </c>
      <c r="O102" s="134">
        <v>0</v>
      </c>
      <c r="P102" s="134">
        <v>0</v>
      </c>
      <c r="Q102" s="132">
        <f t="shared" si="8"/>
        <v>603.74999263999996</v>
      </c>
    </row>
    <row r="103" spans="2:17" s="128" customFormat="1">
      <c r="B103" s="131">
        <f ca="1">DATE(YEAR(NOW()),MONTH(NOW())-7,15)</f>
        <v>42170</v>
      </c>
      <c r="C103" s="60">
        <v>53</v>
      </c>
      <c r="D103" s="61">
        <v>42</v>
      </c>
      <c r="E103" s="61">
        <v>123</v>
      </c>
      <c r="F103" s="61">
        <v>500</v>
      </c>
      <c r="G103" s="49">
        <v>39101</v>
      </c>
      <c r="H103" s="64">
        <v>365</v>
      </c>
      <c r="I103" s="64">
        <v>48</v>
      </c>
      <c r="J103" s="61">
        <v>440</v>
      </c>
      <c r="K103" s="61">
        <v>57</v>
      </c>
      <c r="L103" s="51">
        <v>1.2054794520000001</v>
      </c>
      <c r="M103" s="134">
        <v>0.28672427299999997</v>
      </c>
      <c r="N103" s="134">
        <v>5.2454544999999998E-2</v>
      </c>
      <c r="O103" s="134">
        <v>2.9787233999999999E-2</v>
      </c>
      <c r="P103" s="134">
        <v>3.4042553000000003E-2</v>
      </c>
      <c r="Q103" s="132">
        <f t="shared" si="8"/>
        <v>10501.399909</v>
      </c>
    </row>
    <row r="104" spans="2:17">
      <c r="B104" s="131">
        <f ca="1">DATE(YEAR(NOW()),MONTH(NOW())-8,15)</f>
        <v>42139</v>
      </c>
      <c r="C104" s="60">
        <v>6</v>
      </c>
      <c r="D104" s="61">
        <v>4</v>
      </c>
      <c r="E104" s="61">
        <v>13</v>
      </c>
      <c r="F104" s="61">
        <v>9</v>
      </c>
      <c r="G104" s="49">
        <v>3824</v>
      </c>
      <c r="H104" s="64">
        <v>119</v>
      </c>
      <c r="I104" s="64">
        <v>5</v>
      </c>
      <c r="J104" s="61">
        <v>354</v>
      </c>
      <c r="K104" s="61">
        <v>6</v>
      </c>
      <c r="L104" s="51">
        <v>2.9747899160000002</v>
      </c>
      <c r="M104" s="134">
        <v>0.55868544600000003</v>
      </c>
      <c r="N104" s="135">
        <v>5.0197739999999998E-2</v>
      </c>
      <c r="O104" s="134">
        <v>3.8860103999999999E-2</v>
      </c>
      <c r="P104" s="134">
        <v>4.4041451000000002E-2</v>
      </c>
      <c r="Q104" s="132">
        <f t="shared" si="8"/>
        <v>4300.3399903199997</v>
      </c>
    </row>
    <row r="105" spans="2:17">
      <c r="B105" s="131">
        <f ca="1">DATE(YEAR(NOW()),MONTH(NOW())-9,15)</f>
        <v>42109</v>
      </c>
      <c r="C105" s="60">
        <v>15</v>
      </c>
      <c r="D105" s="61">
        <v>11</v>
      </c>
      <c r="E105" s="61">
        <v>35</v>
      </c>
      <c r="F105" s="61">
        <v>357</v>
      </c>
      <c r="G105" s="49">
        <v>4299</v>
      </c>
      <c r="H105" s="64">
        <v>209</v>
      </c>
      <c r="I105" s="64">
        <v>10</v>
      </c>
      <c r="J105" s="61">
        <v>576</v>
      </c>
      <c r="K105" s="61">
        <v>10</v>
      </c>
      <c r="L105" s="51">
        <v>2.7559808609999998</v>
      </c>
      <c r="M105" s="134">
        <v>0.83599999999999997</v>
      </c>
      <c r="N105" s="135">
        <v>4.7899306000000003E-2</v>
      </c>
      <c r="O105" s="134">
        <v>0.10655737699999999</v>
      </c>
      <c r="P105" s="134">
        <v>0.10655737699999999</v>
      </c>
      <c r="Q105" s="132">
        <f t="shared" si="8"/>
        <v>11104.975103040002</v>
      </c>
    </row>
    <row r="106" spans="2:17" ht="15.75" thickBot="1">
      <c r="B106" s="131">
        <f ca="1">DATE(YEAR(NOW()),MONTH(NOW())-10,15)</f>
        <v>42078</v>
      </c>
      <c r="C106" s="60">
        <v>23</v>
      </c>
      <c r="D106" s="61">
        <v>18</v>
      </c>
      <c r="E106" s="61">
        <v>63</v>
      </c>
      <c r="F106" s="61">
        <v>36</v>
      </c>
      <c r="G106" s="49">
        <v>3957</v>
      </c>
      <c r="H106" s="64">
        <v>12</v>
      </c>
      <c r="I106" s="64">
        <v>10</v>
      </c>
      <c r="J106" s="61">
        <v>26</v>
      </c>
      <c r="K106" s="100">
        <v>11</v>
      </c>
      <c r="L106" s="54">
        <v>2.1666666669999999</v>
      </c>
      <c r="M106" s="134">
        <v>0.11881188099999999</v>
      </c>
      <c r="N106" s="136">
        <v>0.103076923</v>
      </c>
      <c r="O106" s="134">
        <v>0.31578947400000001</v>
      </c>
      <c r="P106" s="134">
        <v>0.22807017500000001</v>
      </c>
      <c r="Q106" s="132">
        <f t="shared" si="8"/>
        <v>79.059999941000001</v>
      </c>
    </row>
    <row r="107" spans="2:17">
      <c r="B107" s="130" t="str">
        <f>L166</f>
        <v>Gujranwala - Gujranwala</v>
      </c>
      <c r="C107" s="57"/>
      <c r="D107" s="58"/>
      <c r="E107" s="58"/>
      <c r="F107" s="58"/>
      <c r="G107" s="59"/>
      <c r="H107" s="58"/>
      <c r="I107" s="58"/>
      <c r="J107" s="58"/>
      <c r="K107" s="58"/>
      <c r="L107" s="58"/>
      <c r="M107" s="58"/>
      <c r="N107" s="58"/>
      <c r="O107" s="58"/>
      <c r="P107" s="58"/>
      <c r="Q107" s="59"/>
    </row>
    <row r="108" spans="2:17" s="128" customFormat="1">
      <c r="B108" s="131">
        <f ca="1">DATE(YEAR(NOW()),MONTH(NOW())-1,15)</f>
        <v>42353</v>
      </c>
      <c r="C108" s="60"/>
      <c r="D108" s="61">
        <v>8</v>
      </c>
      <c r="E108" s="61"/>
      <c r="F108" s="61">
        <v>110</v>
      </c>
      <c r="G108" s="49">
        <v>9328</v>
      </c>
      <c r="H108" s="64">
        <v>66</v>
      </c>
      <c r="I108" s="64">
        <v>41</v>
      </c>
      <c r="J108" s="61">
        <v>168</v>
      </c>
      <c r="K108" s="61">
        <v>37</v>
      </c>
      <c r="L108" s="51">
        <v>2.5454545450000001</v>
      </c>
      <c r="M108" s="134">
        <v>0.26829268299999998</v>
      </c>
      <c r="N108" s="134">
        <v>9.3095237999999997E-2</v>
      </c>
      <c r="O108" s="134">
        <v>1.4778325E-2</v>
      </c>
      <c r="P108" s="134">
        <v>0.157635468</v>
      </c>
      <c r="Q108" s="132">
        <f t="shared" ref="Q108:Q117" si="9">(((H108+I108)+(J108+K108))/2)*(N108*J108)</f>
        <v>2439.8399975039997</v>
      </c>
    </row>
    <row r="109" spans="2:17" s="128" customFormat="1">
      <c r="B109" s="131">
        <f ca="1">DATE(YEAR(NOW()),MONTH(NOW())-2,15)</f>
        <v>42323</v>
      </c>
      <c r="C109" s="60">
        <v>6</v>
      </c>
      <c r="D109" s="61">
        <v>11</v>
      </c>
      <c r="E109" s="61">
        <v>6</v>
      </c>
      <c r="F109" s="61">
        <v>108</v>
      </c>
      <c r="G109" s="49">
        <v>3024</v>
      </c>
      <c r="H109" s="64">
        <v>53</v>
      </c>
      <c r="I109" s="64">
        <v>31</v>
      </c>
      <c r="J109" s="61">
        <v>133</v>
      </c>
      <c r="K109" s="61">
        <v>32</v>
      </c>
      <c r="L109" s="51">
        <v>2.5094339620000001</v>
      </c>
      <c r="M109" s="134">
        <v>0.68831168799999998</v>
      </c>
      <c r="N109" s="134">
        <v>9.7067668999999995E-2</v>
      </c>
      <c r="O109" s="134">
        <v>0</v>
      </c>
      <c r="P109" s="134">
        <v>0</v>
      </c>
      <c r="Q109" s="132">
        <f t="shared" si="9"/>
        <v>1607.2949971365001</v>
      </c>
    </row>
    <row r="110" spans="2:17" s="128" customFormat="1">
      <c r="B110" s="131">
        <f ca="1">DATE(YEAR(NOW()),MONTH(NOW())-3,15)</f>
        <v>42292</v>
      </c>
      <c r="C110" s="60"/>
      <c r="D110" s="61"/>
      <c r="E110" s="61"/>
      <c r="F110" s="61"/>
      <c r="G110" s="49"/>
      <c r="H110" s="64"/>
      <c r="I110" s="64"/>
      <c r="J110" s="61"/>
      <c r="K110" s="61"/>
      <c r="L110" s="51"/>
      <c r="M110" s="134">
        <v>0</v>
      </c>
      <c r="N110" s="134">
        <v>0</v>
      </c>
      <c r="O110" s="134">
        <v>0</v>
      </c>
      <c r="P110" s="134">
        <v>0</v>
      </c>
      <c r="Q110" s="132">
        <f t="shared" si="9"/>
        <v>0</v>
      </c>
    </row>
    <row r="111" spans="2:17" s="128" customFormat="1">
      <c r="B111" s="131">
        <f ca="1">DATE(YEAR(NOW()),MONTH(NOW())-4,15)</f>
        <v>42262</v>
      </c>
      <c r="C111" s="60"/>
      <c r="D111" s="61"/>
      <c r="E111" s="61"/>
      <c r="F111" s="61"/>
      <c r="G111" s="49"/>
      <c r="H111" s="64"/>
      <c r="I111" s="64"/>
      <c r="J111" s="61"/>
      <c r="K111" s="61"/>
      <c r="L111" s="51"/>
      <c r="M111" s="134">
        <v>0</v>
      </c>
      <c r="N111" s="134">
        <v>0</v>
      </c>
      <c r="O111" s="134">
        <v>0</v>
      </c>
      <c r="P111" s="134">
        <v>0</v>
      </c>
      <c r="Q111" s="132">
        <f t="shared" si="9"/>
        <v>0</v>
      </c>
    </row>
    <row r="112" spans="2:17" s="128" customFormat="1">
      <c r="B112" s="131">
        <f ca="1">DATE(YEAR(NOW()),MONTH(NOW())-5,15)</f>
        <v>42231</v>
      </c>
      <c r="C112" s="60"/>
      <c r="D112" s="61"/>
      <c r="E112" s="61"/>
      <c r="F112" s="61"/>
      <c r="G112" s="49"/>
      <c r="H112" s="64"/>
      <c r="I112" s="64"/>
      <c r="J112" s="61"/>
      <c r="K112" s="61"/>
      <c r="L112" s="51"/>
      <c r="M112" s="134">
        <v>0</v>
      </c>
      <c r="N112" s="134">
        <v>0</v>
      </c>
      <c r="O112" s="134">
        <v>0</v>
      </c>
      <c r="P112" s="134">
        <v>0</v>
      </c>
      <c r="Q112" s="132">
        <f t="shared" si="9"/>
        <v>0</v>
      </c>
    </row>
    <row r="113" spans="2:17" s="128" customFormat="1">
      <c r="B113" s="131">
        <f ca="1">DATE(YEAR(NOW()),MONTH(NOW())-6,15)</f>
        <v>42200</v>
      </c>
      <c r="C113" s="60"/>
      <c r="D113" s="61"/>
      <c r="E113" s="61"/>
      <c r="F113" s="61"/>
      <c r="G113" s="49"/>
      <c r="H113" s="64"/>
      <c r="I113" s="64"/>
      <c r="J113" s="61"/>
      <c r="K113" s="61"/>
      <c r="L113" s="51"/>
      <c r="M113" s="134">
        <v>0</v>
      </c>
      <c r="N113" s="134">
        <v>0</v>
      </c>
      <c r="O113" s="134">
        <v>0</v>
      </c>
      <c r="P113" s="134">
        <v>0</v>
      </c>
      <c r="Q113" s="132">
        <f t="shared" si="9"/>
        <v>0</v>
      </c>
    </row>
    <row r="114" spans="2:17" s="128" customFormat="1">
      <c r="B114" s="131">
        <f ca="1">DATE(YEAR(NOW()),MONTH(NOW())-7,15)</f>
        <v>42170</v>
      </c>
      <c r="C114" s="60"/>
      <c r="D114" s="61"/>
      <c r="E114" s="61"/>
      <c r="F114" s="61"/>
      <c r="G114" s="49"/>
      <c r="H114" s="64"/>
      <c r="I114" s="64"/>
      <c r="J114" s="61"/>
      <c r="K114" s="61"/>
      <c r="L114" s="51"/>
      <c r="M114" s="134">
        <v>0</v>
      </c>
      <c r="N114" s="134">
        <v>0</v>
      </c>
      <c r="O114" s="134">
        <v>0</v>
      </c>
      <c r="P114" s="134">
        <v>0</v>
      </c>
      <c r="Q114" s="132">
        <f t="shared" si="9"/>
        <v>0</v>
      </c>
    </row>
    <row r="115" spans="2:17">
      <c r="B115" s="131">
        <f ca="1">DATE(YEAR(NOW()),MONTH(NOW())-8,15)</f>
        <v>42139</v>
      </c>
      <c r="C115" s="60"/>
      <c r="D115" s="61"/>
      <c r="E115" s="61"/>
      <c r="F115" s="61"/>
      <c r="G115" s="49"/>
      <c r="H115" s="64"/>
      <c r="I115" s="64"/>
      <c r="J115" s="61"/>
      <c r="K115" s="61"/>
      <c r="L115" s="51"/>
      <c r="M115" s="134">
        <v>0</v>
      </c>
      <c r="N115" s="135">
        <v>0</v>
      </c>
      <c r="O115" s="134">
        <v>0</v>
      </c>
      <c r="P115" s="134">
        <v>0</v>
      </c>
      <c r="Q115" s="132">
        <f t="shared" si="9"/>
        <v>0</v>
      </c>
    </row>
    <row r="116" spans="2:17">
      <c r="B116" s="131">
        <f ca="1">DATE(YEAR(NOW()),MONTH(NOW())-9,15)</f>
        <v>42109</v>
      </c>
      <c r="C116" s="60"/>
      <c r="D116" s="61"/>
      <c r="E116" s="61"/>
      <c r="F116" s="61"/>
      <c r="G116" s="49"/>
      <c r="H116" s="64"/>
      <c r="I116" s="64"/>
      <c r="J116" s="61"/>
      <c r="K116" s="61"/>
      <c r="L116" s="51"/>
      <c r="M116" s="134">
        <v>0</v>
      </c>
      <c r="N116" s="135">
        <v>0</v>
      </c>
      <c r="O116" s="134">
        <v>0</v>
      </c>
      <c r="P116" s="134">
        <v>0</v>
      </c>
      <c r="Q116" s="132">
        <f t="shared" si="9"/>
        <v>0</v>
      </c>
    </row>
    <row r="117" spans="2:17" ht="15.75" thickBot="1">
      <c r="B117" s="137">
        <f ca="1">DATE(YEAR(NOW()),MONTH(NOW())-10,15)</f>
        <v>42078</v>
      </c>
      <c r="C117" s="68">
        <v>1</v>
      </c>
      <c r="D117" s="67"/>
      <c r="E117" s="67">
        <v>2</v>
      </c>
      <c r="F117" s="67"/>
      <c r="G117" s="92">
        <v>0</v>
      </c>
      <c r="H117" s="66"/>
      <c r="I117" s="66"/>
      <c r="J117" s="67"/>
      <c r="K117" s="67"/>
      <c r="L117" s="55"/>
      <c r="M117" s="136">
        <v>0</v>
      </c>
      <c r="N117" s="136">
        <v>0</v>
      </c>
      <c r="O117" s="136">
        <v>0</v>
      </c>
      <c r="P117" s="136">
        <v>0</v>
      </c>
      <c r="Q117" s="138">
        <f t="shared" si="9"/>
        <v>0</v>
      </c>
    </row>
    <row r="118" spans="2:17" ht="30" customHeight="1"/>
    <row r="119" spans="2:17">
      <c r="B119" s="118" t="s">
        <v>28</v>
      </c>
      <c r="C119" s="189" t="s">
        <v>29</v>
      </c>
      <c r="D119" s="190"/>
      <c r="E119" s="190"/>
      <c r="F119" s="191"/>
      <c r="G119" s="18"/>
      <c r="H119" s="18"/>
      <c r="I119" s="18"/>
    </row>
    <row r="120" spans="2:17">
      <c r="B120" s="118" t="s">
        <v>30</v>
      </c>
      <c r="C120" s="189" t="s">
        <v>31</v>
      </c>
      <c r="D120" s="190"/>
      <c r="E120" s="190"/>
      <c r="F120" s="191"/>
      <c r="G120" s="18"/>
      <c r="H120" s="18"/>
      <c r="I120" s="18"/>
    </row>
    <row r="122" spans="2:17" ht="15.75" thickBot="1"/>
    <row r="123" spans="2:17" s="19" customFormat="1" ht="27.75" customHeight="1">
      <c r="B123" s="196" t="s">
        <v>28</v>
      </c>
      <c r="C123" s="203" t="s">
        <v>32</v>
      </c>
      <c r="D123" s="206"/>
      <c r="E123" s="227" t="s">
        <v>33</v>
      </c>
      <c r="F123" s="228"/>
      <c r="G123" s="228"/>
      <c r="H123" s="228"/>
      <c r="I123" s="228"/>
      <c r="J123" s="228"/>
      <c r="K123" s="228"/>
      <c r="L123" s="228"/>
      <c r="M123" s="228"/>
      <c r="N123" s="228"/>
      <c r="O123" s="228"/>
      <c r="P123" s="229"/>
      <c r="Q123" s="230"/>
    </row>
    <row r="124" spans="2:17" s="19" customFormat="1" ht="27.75" customHeight="1">
      <c r="B124" s="198"/>
      <c r="C124" s="205" t="s">
        <v>5</v>
      </c>
      <c r="D124" s="207"/>
      <c r="E124" s="213" t="s">
        <v>34</v>
      </c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5"/>
      <c r="Q124" s="216"/>
    </row>
    <row r="125" spans="2:17" s="19" customFormat="1" ht="27.75" customHeight="1">
      <c r="B125" s="198"/>
      <c r="C125" s="205" t="s">
        <v>6</v>
      </c>
      <c r="D125" s="207"/>
      <c r="E125" s="213" t="s">
        <v>35</v>
      </c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5"/>
      <c r="Q125" s="216"/>
    </row>
    <row r="126" spans="2:17" s="19" customFormat="1" ht="27.75" customHeight="1">
      <c r="B126" s="198"/>
      <c r="C126" s="205" t="s">
        <v>36</v>
      </c>
      <c r="D126" s="207"/>
      <c r="E126" s="213" t="s">
        <v>37</v>
      </c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5"/>
      <c r="Q126" s="216"/>
    </row>
    <row r="127" spans="2:17" s="19" customFormat="1" ht="27.75" customHeight="1">
      <c r="B127" s="198"/>
      <c r="C127" s="205" t="s">
        <v>38</v>
      </c>
      <c r="D127" s="207"/>
      <c r="E127" s="213" t="s">
        <v>39</v>
      </c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5"/>
      <c r="Q127" s="216"/>
    </row>
    <row r="128" spans="2:17" s="19" customFormat="1" ht="27.75" customHeight="1" thickBot="1">
      <c r="B128" s="200"/>
      <c r="C128" s="194" t="s">
        <v>9</v>
      </c>
      <c r="D128" s="195"/>
      <c r="E128" s="231" t="s">
        <v>40</v>
      </c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3"/>
      <c r="Q128" s="234"/>
    </row>
    <row r="129" spans="2:17" s="19" customFormat="1" ht="27.75" customHeight="1">
      <c r="B129" s="196" t="s">
        <v>30</v>
      </c>
      <c r="C129" s="202" t="s">
        <v>10</v>
      </c>
      <c r="D129" s="203"/>
      <c r="E129" s="227" t="s">
        <v>41</v>
      </c>
      <c r="F129" s="228"/>
      <c r="G129" s="228"/>
      <c r="H129" s="228"/>
      <c r="I129" s="228"/>
      <c r="J129" s="228"/>
      <c r="K129" s="228"/>
      <c r="L129" s="228"/>
      <c r="M129" s="228"/>
      <c r="N129" s="228"/>
      <c r="O129" s="228"/>
      <c r="P129" s="229"/>
      <c r="Q129" s="230"/>
    </row>
    <row r="130" spans="2:17" s="19" customFormat="1" ht="27.75" customHeight="1">
      <c r="B130" s="198"/>
      <c r="C130" s="204" t="s">
        <v>11</v>
      </c>
      <c r="D130" s="205"/>
      <c r="E130" s="213" t="s">
        <v>42</v>
      </c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5"/>
      <c r="Q130" s="216"/>
    </row>
    <row r="131" spans="2:17" s="19" customFormat="1" ht="27.75" customHeight="1">
      <c r="B131" s="198"/>
      <c r="C131" s="204" t="s">
        <v>12</v>
      </c>
      <c r="D131" s="205"/>
      <c r="E131" s="213" t="s">
        <v>43</v>
      </c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5"/>
      <c r="Q131" s="216"/>
    </row>
    <row r="132" spans="2:17" s="19" customFormat="1" ht="27.75" customHeight="1">
      <c r="B132" s="198"/>
      <c r="C132" s="204" t="s">
        <v>13</v>
      </c>
      <c r="D132" s="205"/>
      <c r="E132" s="213" t="s">
        <v>44</v>
      </c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5"/>
      <c r="Q132" s="216"/>
    </row>
    <row r="133" spans="2:17" s="19" customFormat="1" ht="27.75" customHeight="1">
      <c r="B133" s="198"/>
      <c r="C133" s="204" t="s">
        <v>45</v>
      </c>
      <c r="D133" s="205"/>
      <c r="E133" s="213" t="s">
        <v>46</v>
      </c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5"/>
      <c r="Q133" s="216"/>
    </row>
    <row r="134" spans="2:17" s="19" customFormat="1" ht="27.75" customHeight="1">
      <c r="B134" s="198"/>
      <c r="C134" s="204" t="s">
        <v>47</v>
      </c>
      <c r="D134" s="205"/>
      <c r="E134" s="213" t="s">
        <v>48</v>
      </c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5"/>
      <c r="Q134" s="216"/>
    </row>
    <row r="135" spans="2:17" s="19" customFormat="1" ht="41.25" customHeight="1">
      <c r="B135" s="198"/>
      <c r="C135" s="204" t="s">
        <v>15</v>
      </c>
      <c r="D135" s="205"/>
      <c r="E135" s="213" t="s">
        <v>49</v>
      </c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5"/>
      <c r="Q135" s="216"/>
    </row>
    <row r="136" spans="2:17" s="19" customFormat="1" ht="27.75" customHeight="1" thickBot="1">
      <c r="B136" s="200"/>
      <c r="C136" s="208" t="s">
        <v>16</v>
      </c>
      <c r="D136" s="194"/>
      <c r="E136" s="217" t="s">
        <v>50</v>
      </c>
      <c r="F136" s="218"/>
      <c r="G136" s="218"/>
      <c r="H136" s="218"/>
      <c r="I136" s="218"/>
      <c r="J136" s="218"/>
      <c r="K136" s="218"/>
      <c r="L136" s="218"/>
      <c r="M136" s="218"/>
      <c r="N136" s="218"/>
      <c r="O136" s="218"/>
      <c r="P136" s="219"/>
      <c r="Q136" s="220"/>
    </row>
    <row r="137" spans="2:17" s="19" customFormat="1" ht="25.5" customHeight="1" thickBot="1"/>
    <row r="138" spans="2:17" ht="39.75" customHeight="1" thickBot="1">
      <c r="B138" s="179" t="s">
        <v>51</v>
      </c>
      <c r="C138" s="180"/>
      <c r="D138" s="180"/>
      <c r="E138" s="181"/>
      <c r="F138" s="181"/>
      <c r="G138" s="181"/>
      <c r="H138" s="181"/>
      <c r="I138" s="181"/>
      <c r="J138" s="181"/>
      <c r="K138" s="181"/>
      <c r="L138" s="181"/>
      <c r="M138" s="181"/>
      <c r="N138" s="181"/>
      <c r="O138" s="181"/>
      <c r="P138" s="20"/>
    </row>
    <row r="139" spans="2:17" ht="29.2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</row>
    <row r="140" spans="2:17" ht="17.25" customHeight="1" thickBot="1"/>
    <row r="141" spans="2:17" ht="18" thickBot="1">
      <c r="C141" s="37" t="s">
        <v>53</v>
      </c>
      <c r="D141" s="38"/>
      <c r="E141" s="22"/>
      <c r="F141" s="36" t="s">
        <v>54</v>
      </c>
      <c r="G141" s="22"/>
      <c r="H141" s="39" t="b">
        <f>IF(B2="Tripda Report - Daily","Rank on " &amp;  TEXT(#REF!,"dd/mm"))</f>
        <v>0</v>
      </c>
      <c r="I141" s="94"/>
      <c r="J141" s="40"/>
      <c r="K141" s="94"/>
      <c r="L141" s="36" t="b">
        <f>IF(B2="Tripda Report - Daily","Rank on " &amp;  TEXT(#REF!,"dd/mm"))</f>
        <v>0</v>
      </c>
      <c r="M141" s="41"/>
    </row>
    <row r="142" spans="2:17" ht="17.25">
      <c r="C142" s="251" t="str">
        <f t="shared" ref="C142:C151" si="10">VLOOKUP(F142,$E$157:$M$166,$E$168,0)</f>
        <v>Karachi - Karachi</v>
      </c>
      <c r="D142" s="252"/>
      <c r="E142" s="253"/>
      <c r="F142" s="243">
        <f>VLOOKUP(1,$D$157:$E$166,2,0)</f>
        <v>9730834.368244404</v>
      </c>
      <c r="G142" s="244"/>
      <c r="H142" s="221" t="e">
        <f>VLOOKUP(C142,[1]Teste!$N$47:$Q$57,4,0)</f>
        <v>#N/A</v>
      </c>
      <c r="I142" s="237"/>
      <c r="J142" s="238"/>
      <c r="K142" s="116"/>
      <c r="L142" s="221" t="e">
        <f>VLOOKUP(C142,[1]Teste!$N$47:$S$57,6,0)</f>
        <v>#N/A</v>
      </c>
      <c r="M142" s="222"/>
    </row>
    <row r="143" spans="2:17" ht="17.25">
      <c r="C143" s="254" t="str">
        <f t="shared" si="10"/>
        <v>Lahore - Lahore</v>
      </c>
      <c r="D143" s="255"/>
      <c r="E143" s="256"/>
      <c r="F143" s="299">
        <f>VLOOKUP(2,$D$157:$E$166,2,0)</f>
        <v>1467224.4200000002</v>
      </c>
      <c r="G143" s="246"/>
      <c r="H143" s="223" t="e">
        <f>VLOOKUP(C143,[1]Teste!$N$47:$Q$57,4,0)</f>
        <v>#N/A</v>
      </c>
      <c r="I143" s="239"/>
      <c r="J143" s="240"/>
      <c r="K143" s="117"/>
      <c r="L143" s="223" t="e">
        <f>VLOOKUP(C143,[1]Teste!$N$47:$S$57,6,0)</f>
        <v>#N/A</v>
      </c>
      <c r="M143" s="224"/>
    </row>
    <row r="144" spans="2:17" ht="17.25">
      <c r="C144" s="257" t="str">
        <f t="shared" si="10"/>
        <v>Islamabad - Lahore</v>
      </c>
      <c r="D144" s="258"/>
      <c r="E144" s="259"/>
      <c r="F144" s="300">
        <f>VLOOKUP(3,$D$157:$E$166,2,0)</f>
        <v>358474.72502512299</v>
      </c>
      <c r="G144" s="193"/>
      <c r="H144" s="223" t="e">
        <f>VLOOKUP(C144,[1]Teste!$N$47:$Q$57,4,0)</f>
        <v>#N/A</v>
      </c>
      <c r="I144" s="239"/>
      <c r="J144" s="240"/>
      <c r="K144" s="117"/>
      <c r="L144" s="223" t="e">
        <f>VLOOKUP(C144,[1]Teste!$N$47:$S$57,6,0)</f>
        <v>#N/A</v>
      </c>
      <c r="M144" s="224"/>
      <c r="O144" s="26"/>
      <c r="P144" s="26"/>
    </row>
    <row r="145" spans="3:13" ht="17.25">
      <c r="C145" s="260" t="str">
        <f t="shared" si="10"/>
        <v>Hyderabad - Hyderabad</v>
      </c>
      <c r="D145" s="261"/>
      <c r="E145" s="262"/>
      <c r="F145" s="301">
        <f>VLOOKUP(4,$D$157:$E$166,2,0)</f>
        <v>331398.9866995</v>
      </c>
      <c r="G145" s="210"/>
      <c r="H145" s="223" t="e">
        <f>VLOOKUP(C145,[1]Teste!$N$47:$Q$57,4,0)</f>
        <v>#N/A</v>
      </c>
      <c r="I145" s="239"/>
      <c r="J145" s="240"/>
      <c r="K145" s="117"/>
      <c r="L145" s="223" t="e">
        <f>VLOOKUP(C145,[1]Teste!$N$47:$S$57,6,0)</f>
        <v>#N/A</v>
      </c>
      <c r="M145" s="224"/>
    </row>
    <row r="146" spans="3:13" ht="17.25">
      <c r="C146" s="260" t="str">
        <f t="shared" si="10"/>
        <v>Lahore - Islamabad</v>
      </c>
      <c r="D146" s="261"/>
      <c r="E146" s="262"/>
      <c r="F146" s="301">
        <f>VLOOKUP(5,$D$157:$E$166,2,0)</f>
        <v>212163.83498654951</v>
      </c>
      <c r="G146" s="210"/>
      <c r="H146" s="223" t="e">
        <f>VLOOKUP(C146,[1]Teste!$N$47:$Q$57,4,0)</f>
        <v>#N/A</v>
      </c>
      <c r="I146" s="239"/>
      <c r="J146" s="240"/>
      <c r="K146" s="117"/>
      <c r="L146" s="223" t="e">
        <f>VLOOKUP(C146,[1]Teste!$N$47:$S$57,6,0)</f>
        <v>#N/A</v>
      </c>
      <c r="M146" s="224"/>
    </row>
    <row r="147" spans="3:13" ht="17.25">
      <c r="C147" s="260" t="str">
        <f t="shared" si="10"/>
        <v>Gujranwala - Gujranwala</v>
      </c>
      <c r="D147" s="261"/>
      <c r="E147" s="262"/>
      <c r="F147" s="301">
        <f>VLOOKUP(6,$D$157:$E$166,2,0)</f>
        <v>2439.9399975039996</v>
      </c>
      <c r="G147" s="210"/>
      <c r="H147" s="223" t="e">
        <f>VLOOKUP(C147,[1]Teste!$N$47:$Q$57,4,0)</f>
        <v>#N/A</v>
      </c>
      <c r="I147" s="239"/>
      <c r="J147" s="240"/>
      <c r="K147" s="117"/>
      <c r="L147" s="223" t="e">
        <f>VLOOKUP(C147,[1]Teste!$N$47:$S$57,6,0)</f>
        <v>#N/A</v>
      </c>
      <c r="M147" s="224"/>
    </row>
    <row r="148" spans="3:13" ht="17.25">
      <c r="C148" s="260" t="str">
        <f t="shared" si="10"/>
        <v>Islamabad - Islamabad</v>
      </c>
      <c r="D148" s="261"/>
      <c r="E148" s="262"/>
      <c r="F148" s="301">
        <f>VLOOKUP(7,$D$157:$E$166,2,0)</f>
        <v>1369.7599980239997</v>
      </c>
      <c r="G148" s="210"/>
      <c r="H148" s="223" t="e">
        <f>VLOOKUP(C148,[1]Teste!$N$47:$Q$57,4,0)</f>
        <v>#N/A</v>
      </c>
      <c r="I148" s="239"/>
      <c r="J148" s="240"/>
      <c r="K148" s="117"/>
      <c r="L148" s="223" t="e">
        <f>VLOOKUP(C148,[1]Teste!$N$47:$S$57,6,0)</f>
        <v>#N/A</v>
      </c>
      <c r="M148" s="224"/>
    </row>
    <row r="149" spans="3:13" ht="17.25">
      <c r="C149" s="260" t="str">
        <f t="shared" si="10"/>
        <v>Rawalpindi - Islamabad</v>
      </c>
      <c r="D149" s="261"/>
      <c r="E149" s="262"/>
      <c r="F149" s="301">
        <f>VLOOKUP(8,$D$157:$E$166,2,0)</f>
        <v>954.01000164999994</v>
      </c>
      <c r="G149" s="210"/>
      <c r="H149" s="223" t="e">
        <f>VLOOKUP(C149,[1]Teste!$N$47:$Q$57,4,0)</f>
        <v>#N/A</v>
      </c>
      <c r="I149" s="239"/>
      <c r="J149" s="240"/>
      <c r="K149" s="117"/>
      <c r="L149" s="223" t="e">
        <f>VLOOKUP(C149,[1]Teste!$N$47:$S$57,6,0)</f>
        <v>#N/A</v>
      </c>
      <c r="M149" s="224"/>
    </row>
    <row r="150" spans="3:13" ht="17.25">
      <c r="C150" s="263" t="str">
        <f t="shared" si="10"/>
        <v>Islamabad - Rawalpindi</v>
      </c>
      <c r="D150" s="264"/>
      <c r="E150" s="265"/>
      <c r="F150" s="302">
        <f>VLOOKUP(9,$D$157:$E$166,2,0)</f>
        <v>744.96000039</v>
      </c>
      <c r="G150" s="212"/>
      <c r="H150" s="223" t="e">
        <f>VLOOKUP(C150,[1]Teste!$N$47:$Q$57,4,0)</f>
        <v>#N/A</v>
      </c>
      <c r="I150" s="239"/>
      <c r="J150" s="240"/>
      <c r="K150" s="117"/>
      <c r="L150" s="223" t="e">
        <f>VLOOKUP(C150,[1]Teste!$N$47:$S$57,6,0)</f>
        <v>#N/A</v>
      </c>
      <c r="M150" s="224"/>
    </row>
    <row r="151" spans="3:13" ht="17.25">
      <c r="C151" s="263" t="str">
        <f t="shared" si="10"/>
        <v>Raiwind - Lahore</v>
      </c>
      <c r="D151" s="264"/>
      <c r="E151" s="265"/>
      <c r="F151" s="302">
        <f>VLOOKUP(10,$D$157:$E$166,2,0)</f>
        <v>0.02</v>
      </c>
      <c r="G151" s="212"/>
      <c r="H151" s="223" t="e">
        <f>VLOOKUP(C151,[1]Teste!$N$47:$Q$57,4,0)</f>
        <v>#N/A</v>
      </c>
      <c r="I151" s="239"/>
      <c r="J151" s="240"/>
      <c r="K151" s="117"/>
      <c r="L151" s="223" t="e">
        <f>VLOOKUP(C151,[1]Teste!$N$47:$S$57,6,0)</f>
        <v>#N/A</v>
      </c>
      <c r="M151" s="224"/>
    </row>
    <row r="155" spans="3:13" ht="15.75" thickBot="1"/>
    <row r="156" spans="3:13" ht="15.75" thickBot="1">
      <c r="C156" s="123"/>
      <c r="D156" s="73" t="s">
        <v>66</v>
      </c>
      <c r="E156" s="74" t="s">
        <v>67</v>
      </c>
      <c r="F156" s="75" t="s">
        <v>68</v>
      </c>
      <c r="G156" s="75" t="s">
        <v>69</v>
      </c>
      <c r="H156" s="75" t="s">
        <v>70</v>
      </c>
      <c r="I156" s="75"/>
      <c r="J156" s="76" t="s">
        <v>71</v>
      </c>
      <c r="K156" s="104"/>
    </row>
    <row r="157" spans="3:13">
      <c r="C157" s="124"/>
      <c r="D157" s="78">
        <f>RANK(E157,$E$157:$E$166)</f>
        <v>8</v>
      </c>
      <c r="E157" s="140">
        <f>Q9 + 0.01</f>
        <v>954.01000164999994</v>
      </c>
      <c r="F157" s="30" t="e">
        <f t="shared" ref="F157:F166" si="11">RANK(G157,$S$106:$S$119)</f>
        <v>#REF!</v>
      </c>
      <c r="G157" s="30" t="e">
        <f>#REF!</f>
        <v>#REF!</v>
      </c>
      <c r="H157" s="30" t="e">
        <f t="shared" ref="H157:H166" si="12">RANK(J157,$U$106:$U$119)</f>
        <v>#REF!</v>
      </c>
      <c r="I157" s="95"/>
      <c r="J157" s="31" t="e">
        <f>#REF!</f>
        <v>#REF!</v>
      </c>
      <c r="K157" s="105"/>
      <c r="L157" s="143" t="s">
        <v>78</v>
      </c>
      <c r="M157" s="126"/>
    </row>
    <row r="158" spans="3:13">
      <c r="C158" s="124"/>
      <c r="D158" s="78">
        <f t="shared" ref="D158:D166" si="13">RANK(E158,$E$157:$E$166)</f>
        <v>10</v>
      </c>
      <c r="E158" s="141">
        <f>Q21 + 0.02</f>
        <v>0.02</v>
      </c>
      <c r="F158" s="32" t="e">
        <f t="shared" si="11"/>
        <v>#REF!</v>
      </c>
      <c r="G158" s="32" t="e">
        <f>#REF!</f>
        <v>#REF!</v>
      </c>
      <c r="H158" s="32" t="e">
        <f t="shared" si="12"/>
        <v>#REF!</v>
      </c>
      <c r="I158" s="96"/>
      <c r="J158" s="33" t="e">
        <f>#REF!</f>
        <v>#REF!</v>
      </c>
      <c r="K158" s="106"/>
      <c r="L158" s="143" t="s">
        <v>79</v>
      </c>
      <c r="M158" s="126"/>
    </row>
    <row r="159" spans="3:13">
      <c r="C159" s="124"/>
      <c r="D159" s="78">
        <f t="shared" si="13"/>
        <v>2</v>
      </c>
      <c r="E159" s="141">
        <f>Q31+ 0.03</f>
        <v>1467224.4200000002</v>
      </c>
      <c r="F159" s="32" t="e">
        <f t="shared" si="11"/>
        <v>#REF!</v>
      </c>
      <c r="G159" s="32" t="e">
        <f>#REF!</f>
        <v>#REF!</v>
      </c>
      <c r="H159" s="32" t="e">
        <f t="shared" si="12"/>
        <v>#REF!</v>
      </c>
      <c r="I159" s="96"/>
      <c r="J159" s="33" t="e">
        <f>#REF!</f>
        <v>#REF!</v>
      </c>
      <c r="K159" s="106"/>
      <c r="L159" s="143" t="s">
        <v>80</v>
      </c>
      <c r="M159" s="126"/>
    </row>
    <row r="160" spans="3:13">
      <c r="C160" s="124"/>
      <c r="D160" s="78">
        <f t="shared" si="13"/>
        <v>5</v>
      </c>
      <c r="E160" s="141">
        <f>Q42+ 0.04</f>
        <v>212163.83498654951</v>
      </c>
      <c r="F160" s="32" t="e">
        <f t="shared" si="11"/>
        <v>#REF!</v>
      </c>
      <c r="G160" s="32" t="e">
        <f>#REF! +#REF!</f>
        <v>#REF!</v>
      </c>
      <c r="H160" s="32" t="e">
        <f t="shared" si="12"/>
        <v>#REF!</v>
      </c>
      <c r="I160" s="96"/>
      <c r="J160" s="33" t="e">
        <f>#REF! +#REF!</f>
        <v>#REF!</v>
      </c>
      <c r="K160" s="106"/>
      <c r="L160" s="143" t="s">
        <v>81</v>
      </c>
      <c r="M160" s="126"/>
    </row>
    <row r="161" spans="3:13">
      <c r="C161" s="125"/>
      <c r="D161" s="78">
        <f t="shared" si="13"/>
        <v>1</v>
      </c>
      <c r="E161" s="141">
        <f>Q53 + 0.05</f>
        <v>9730834.368244404</v>
      </c>
      <c r="F161" s="32" t="e">
        <f t="shared" si="11"/>
        <v>#REF!</v>
      </c>
      <c r="G161" s="32" t="e">
        <f>#REF!</f>
        <v>#REF!</v>
      </c>
      <c r="H161" s="32" t="e">
        <f t="shared" si="12"/>
        <v>#REF!</v>
      </c>
      <c r="I161" s="96"/>
      <c r="J161" s="33" t="e">
        <f>#REF!</f>
        <v>#REF!</v>
      </c>
      <c r="K161" s="106"/>
      <c r="L161" s="143" t="s">
        <v>82</v>
      </c>
      <c r="M161" s="126"/>
    </row>
    <row r="162" spans="3:13">
      <c r="C162" s="124"/>
      <c r="D162" s="78">
        <f t="shared" si="13"/>
        <v>9</v>
      </c>
      <c r="E162" s="141">
        <f>Q64+ 0.06</f>
        <v>744.96000039</v>
      </c>
      <c r="F162" s="32" t="e">
        <f t="shared" si="11"/>
        <v>#REF!</v>
      </c>
      <c r="G162" s="32" t="e">
        <f>#REF!+#REF!</f>
        <v>#REF!</v>
      </c>
      <c r="H162" s="32" t="e">
        <f t="shared" si="12"/>
        <v>#REF!</v>
      </c>
      <c r="I162" s="96"/>
      <c r="J162" s="33" t="e">
        <f>#REF!+#REF!</f>
        <v>#REF!</v>
      </c>
      <c r="K162" s="106"/>
      <c r="L162" s="143" t="s">
        <v>83</v>
      </c>
      <c r="M162" s="126"/>
    </row>
    <row r="163" spans="3:13">
      <c r="C163" s="124"/>
      <c r="D163" s="78">
        <f t="shared" si="13"/>
        <v>3</v>
      </c>
      <c r="E163" s="141">
        <f>Q75+ 0.07</f>
        <v>358474.72502512299</v>
      </c>
      <c r="F163" s="32" t="e">
        <f t="shared" si="11"/>
        <v>#REF!</v>
      </c>
      <c r="G163" s="32" t="e">
        <f>#REF!</f>
        <v>#REF!</v>
      </c>
      <c r="H163" s="32" t="e">
        <f t="shared" si="12"/>
        <v>#REF!</v>
      </c>
      <c r="I163" s="96"/>
      <c r="J163" s="33" t="e">
        <f>#REF!</f>
        <v>#REF!</v>
      </c>
      <c r="K163" s="106"/>
      <c r="L163" s="143" t="s">
        <v>84</v>
      </c>
      <c r="M163" s="126"/>
    </row>
    <row r="164" spans="3:13">
      <c r="C164" s="125"/>
      <c r="D164" s="78">
        <f t="shared" si="13"/>
        <v>7</v>
      </c>
      <c r="E164" s="141">
        <f>Q86+ 0.08</f>
        <v>1369.7599980239997</v>
      </c>
      <c r="F164" s="32" t="e">
        <f t="shared" si="11"/>
        <v>#REF!</v>
      </c>
      <c r="G164" s="32" t="e">
        <f>#REF!</f>
        <v>#REF!</v>
      </c>
      <c r="H164" s="32" t="e">
        <f t="shared" si="12"/>
        <v>#REF!</v>
      </c>
      <c r="I164" s="96"/>
      <c r="J164" s="33" t="e">
        <f>#REF!</f>
        <v>#REF!</v>
      </c>
      <c r="K164" s="106"/>
      <c r="L164" s="143" t="s">
        <v>85</v>
      </c>
      <c r="M164" s="126"/>
    </row>
    <row r="165" spans="3:13">
      <c r="C165" s="124"/>
      <c r="D165" s="78">
        <f t="shared" si="13"/>
        <v>4</v>
      </c>
      <c r="E165" s="141">
        <f>Q97+ 0.09</f>
        <v>331398.9866995</v>
      </c>
      <c r="F165" s="32" t="e">
        <f t="shared" si="11"/>
        <v>#REF!</v>
      </c>
      <c r="G165" s="32" t="e">
        <f>#REF!</f>
        <v>#REF!</v>
      </c>
      <c r="H165" s="32" t="e">
        <f t="shared" si="12"/>
        <v>#REF!</v>
      </c>
      <c r="I165" s="96"/>
      <c r="J165" s="33" t="e">
        <f>#REF!</f>
        <v>#REF!</v>
      </c>
      <c r="K165" s="106"/>
      <c r="L165" s="143" t="s">
        <v>86</v>
      </c>
      <c r="M165" s="126"/>
    </row>
    <row r="166" spans="3:13">
      <c r="C166" s="125"/>
      <c r="D166" s="78">
        <f t="shared" si="13"/>
        <v>6</v>
      </c>
      <c r="E166" s="141">
        <f>Q108+ 0.1</f>
        <v>2439.9399975039996</v>
      </c>
      <c r="F166" s="32" t="e">
        <f t="shared" si="11"/>
        <v>#REF!</v>
      </c>
      <c r="G166" s="32" t="e">
        <f>#REF!</f>
        <v>#REF!</v>
      </c>
      <c r="H166" s="32" t="e">
        <f t="shared" si="12"/>
        <v>#REF!</v>
      </c>
      <c r="I166" s="96"/>
      <c r="J166" s="33" t="e">
        <f>#REF!</f>
        <v>#REF!</v>
      </c>
      <c r="K166" s="106"/>
      <c r="L166" s="143" t="s">
        <v>87</v>
      </c>
      <c r="M166" s="127"/>
    </row>
    <row r="167" spans="3:13">
      <c r="L167" s="142"/>
    </row>
    <row r="168" spans="3:13">
      <c r="E168">
        <f>F168+G168</f>
        <v>8</v>
      </c>
      <c r="F168">
        <f>COUNTA(E166:L166)</f>
        <v>6</v>
      </c>
      <c r="G168">
        <f>COUNTBLANK(E166:L166)</f>
        <v>2</v>
      </c>
    </row>
  </sheetData>
  <mergeCells count="76">
    <mergeCell ref="C151:E151"/>
    <mergeCell ref="F151:G151"/>
    <mergeCell ref="H151:J151"/>
    <mergeCell ref="L151:M151"/>
    <mergeCell ref="C149:E149"/>
    <mergeCell ref="F149:G149"/>
    <mergeCell ref="H149:J149"/>
    <mergeCell ref="L149:M149"/>
    <mergeCell ref="C150:E150"/>
    <mergeCell ref="F150:G150"/>
    <mergeCell ref="H150:J150"/>
    <mergeCell ref="L150:M150"/>
    <mergeCell ref="C147:E147"/>
    <mergeCell ref="F147:G147"/>
    <mergeCell ref="H147:J147"/>
    <mergeCell ref="L147:M147"/>
    <mergeCell ref="C148:E148"/>
    <mergeCell ref="F148:G148"/>
    <mergeCell ref="H148:J148"/>
    <mergeCell ref="L148:M148"/>
    <mergeCell ref="C145:E145"/>
    <mergeCell ref="F145:G145"/>
    <mergeCell ref="H145:J145"/>
    <mergeCell ref="L145:M145"/>
    <mergeCell ref="C146:E146"/>
    <mergeCell ref="F146:G146"/>
    <mergeCell ref="H146:J146"/>
    <mergeCell ref="L146:M146"/>
    <mergeCell ref="C143:E143"/>
    <mergeCell ref="F143:G143"/>
    <mergeCell ref="H143:J143"/>
    <mergeCell ref="L143:M143"/>
    <mergeCell ref="C144:E144"/>
    <mergeCell ref="F144:G144"/>
    <mergeCell ref="H144:J144"/>
    <mergeCell ref="L144:M144"/>
    <mergeCell ref="C142:E142"/>
    <mergeCell ref="F142:G142"/>
    <mergeCell ref="H142:J142"/>
    <mergeCell ref="L142:M142"/>
    <mergeCell ref="C132:D132"/>
    <mergeCell ref="E132:Q132"/>
    <mergeCell ref="C133:D133"/>
    <mergeCell ref="E133:Q133"/>
    <mergeCell ref="C134:D134"/>
    <mergeCell ref="E134:Q134"/>
    <mergeCell ref="C135:D135"/>
    <mergeCell ref="E135:Q135"/>
    <mergeCell ref="C136:D136"/>
    <mergeCell ref="E136:Q136"/>
    <mergeCell ref="B138:O138"/>
    <mergeCell ref="C128:D128"/>
    <mergeCell ref="E128:Q128"/>
    <mergeCell ref="B129:B136"/>
    <mergeCell ref="C129:D129"/>
    <mergeCell ref="E129:Q129"/>
    <mergeCell ref="C130:D130"/>
    <mergeCell ref="E130:Q130"/>
    <mergeCell ref="C131:D131"/>
    <mergeCell ref="E131:Q131"/>
    <mergeCell ref="B123:B128"/>
    <mergeCell ref="C123:D123"/>
    <mergeCell ref="E123:Q123"/>
    <mergeCell ref="C124:D124"/>
    <mergeCell ref="E124:Q124"/>
    <mergeCell ref="C125:D125"/>
    <mergeCell ref="E125:Q125"/>
    <mergeCell ref="C126:D126"/>
    <mergeCell ref="E126:Q126"/>
    <mergeCell ref="C127:D127"/>
    <mergeCell ref="B2:Q2"/>
    <mergeCell ref="C6:G6"/>
    <mergeCell ref="H6:Q6"/>
    <mergeCell ref="C119:F119"/>
    <mergeCell ref="C120:F120"/>
    <mergeCell ref="E127:Q127"/>
  </mergeCells>
  <conditionalFormatting sqref="H142:I151 L142:L151">
    <cfRule type="cellIs" dxfId="3" priority="1" operator="greaterThan">
      <formula>8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511811024" right="0.511811024" top="0.78740157499999996" bottom="0.78740157499999996" header="0.31496062000000002" footer="0.31496062000000002"/>
  <pageSetup paperSize="9" scale="35" orientation="landscape" r:id="rId1"/>
  <colBreaks count="1" manualBreakCount="1">
    <brk id="17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1:T192"/>
  <sheetViews>
    <sheetView showGridLines="0" zoomScale="70" zoomScaleNormal="70" zoomScalePageLayoutView="70" workbookViewId="0">
      <selection activeCell="D7" sqref="D7"/>
    </sheetView>
  </sheetViews>
  <sheetFormatPr defaultRowHeight="15"/>
  <cols>
    <col min="1" max="1" width="5.7109375" customWidth="1"/>
    <col min="2" max="2" width="21.5703125" bestFit="1" customWidth="1"/>
    <col min="3" max="3" width="11.85546875" customWidth="1"/>
    <col min="4" max="4" width="13.42578125" customWidth="1"/>
    <col min="5" max="5" width="13.5703125" customWidth="1"/>
    <col min="6" max="6" width="12.140625" customWidth="1"/>
    <col min="7" max="7" width="15.7109375" customWidth="1"/>
    <col min="8" max="9" width="11.5703125" customWidth="1"/>
    <col min="10" max="11" width="13.28515625" customWidth="1"/>
    <col min="12" max="12" width="16.7109375" customWidth="1"/>
    <col min="13" max="13" width="12.7109375" customWidth="1"/>
    <col min="14" max="14" width="14.85546875" customWidth="1"/>
    <col min="15" max="16" width="14.42578125" customWidth="1"/>
    <col min="17" max="17" width="14.85546875" customWidth="1"/>
  </cols>
  <sheetData>
    <row r="1" spans="2:17" ht="15.75" thickBot="1"/>
    <row r="2" spans="2:17" s="1" customFormat="1" ht="40.5" customHeight="1" thickBot="1">
      <c r="B2" s="179" t="str">
        <f>'(Monthly)Routes'!B2:Q2</f>
        <v>Tripda Report - Monthly</v>
      </c>
      <c r="C2" s="180"/>
      <c r="D2" s="180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</row>
    <row r="3" spans="2:17" ht="15.75" thickBot="1"/>
    <row r="4" spans="2:17" ht="15.75" thickBot="1">
      <c r="B4" s="2" t="s">
        <v>1</v>
      </c>
      <c r="C4" s="3">
        <f ca="1">TODAY()</f>
        <v>42388</v>
      </c>
      <c r="D4" s="4"/>
      <c r="J4" s="5"/>
      <c r="K4" s="5"/>
      <c r="L4" s="5"/>
      <c r="M4" s="5"/>
      <c r="N4" s="5"/>
    </row>
    <row r="5" spans="2:17" ht="15.75" thickBot="1">
      <c r="B5" s="6"/>
      <c r="C5" s="6"/>
      <c r="D5" s="6"/>
      <c r="F5" s="5"/>
      <c r="G5" s="5"/>
      <c r="H5" s="5"/>
      <c r="I5" s="5"/>
      <c r="J5" s="5"/>
      <c r="K5" s="5"/>
      <c r="L5" s="5"/>
      <c r="M5" s="5"/>
      <c r="N5" s="5"/>
    </row>
    <row r="6" spans="2:17" ht="24" thickBot="1">
      <c r="B6" s="7"/>
      <c r="C6" s="182"/>
      <c r="D6" s="183"/>
      <c r="E6" s="183"/>
      <c r="F6" s="183"/>
      <c r="G6" s="184"/>
      <c r="H6" s="185" t="s">
        <v>3</v>
      </c>
      <c r="I6" s="185"/>
      <c r="J6" s="185"/>
      <c r="K6" s="185"/>
      <c r="L6" s="185"/>
      <c r="M6" s="185"/>
      <c r="N6" s="185"/>
      <c r="O6" s="185"/>
      <c r="P6" s="185"/>
      <c r="Q6" s="186"/>
    </row>
    <row r="7" spans="2:17" ht="60" customHeight="1" thickBot="1">
      <c r="B7" s="8"/>
      <c r="C7" s="9" t="s">
        <v>5</v>
      </c>
      <c r="D7" s="11" t="s">
        <v>103</v>
      </c>
      <c r="E7" s="12" t="s">
        <v>7</v>
      </c>
      <c r="F7" s="12" t="s">
        <v>8</v>
      </c>
      <c r="G7" s="13" t="s">
        <v>9</v>
      </c>
      <c r="H7" s="10" t="s">
        <v>10</v>
      </c>
      <c r="I7" s="10" t="s">
        <v>75</v>
      </c>
      <c r="J7" s="12" t="s">
        <v>11</v>
      </c>
      <c r="K7" s="12" t="s">
        <v>76</v>
      </c>
      <c r="L7" s="12" t="s">
        <v>12</v>
      </c>
      <c r="M7" s="12" t="s">
        <v>13</v>
      </c>
      <c r="N7" s="12" t="s">
        <v>14</v>
      </c>
      <c r="O7" s="12" t="s">
        <v>15</v>
      </c>
      <c r="P7" s="13" t="s">
        <v>16</v>
      </c>
      <c r="Q7" s="13" t="s">
        <v>73</v>
      </c>
    </row>
    <row r="8" spans="2:17" s="128" customFormat="1">
      <c r="B8" s="56" t="s">
        <v>82</v>
      </c>
      <c r="C8" s="57"/>
      <c r="D8" s="58"/>
      <c r="E8" s="58"/>
      <c r="F8" s="58"/>
      <c r="G8" s="59"/>
      <c r="H8" s="58"/>
      <c r="I8" s="58"/>
      <c r="J8" s="58"/>
      <c r="K8" s="58"/>
      <c r="L8" s="58"/>
      <c r="M8" s="58"/>
      <c r="N8" s="58"/>
      <c r="O8" s="58"/>
      <c r="P8" s="58"/>
      <c r="Q8" s="59"/>
    </row>
    <row r="9" spans="2:17" s="128" customFormat="1">
      <c r="B9" s="129">
        <v>42292</v>
      </c>
      <c r="C9" s="60">
        <v>359</v>
      </c>
      <c r="D9" s="61">
        <v>266</v>
      </c>
      <c r="E9" s="62">
        <v>817</v>
      </c>
      <c r="F9" s="62">
        <v>8616</v>
      </c>
      <c r="G9" s="63">
        <v>4446170</v>
      </c>
      <c r="H9" s="64">
        <v>2988</v>
      </c>
      <c r="I9" s="64">
        <v>2782</v>
      </c>
      <c r="J9" s="61">
        <v>7371</v>
      </c>
      <c r="K9" s="61">
        <v>5410</v>
      </c>
      <c r="L9" s="51">
        <v>2.46686747</v>
      </c>
      <c r="M9" s="52">
        <v>6.1346418E-2</v>
      </c>
      <c r="N9" s="51">
        <v>0.14232668600000001</v>
      </c>
      <c r="O9" s="52">
        <v>1.0001999999999999E-4</v>
      </c>
      <c r="P9" s="52">
        <v>0.26265253100000002</v>
      </c>
      <c r="Q9" s="132">
        <v>9730834.3182444032</v>
      </c>
    </row>
    <row r="10" spans="2:17" s="128" customFormat="1">
      <c r="B10" s="129">
        <v>42262</v>
      </c>
      <c r="C10" s="60">
        <v>199</v>
      </c>
      <c r="D10" s="61">
        <v>281</v>
      </c>
      <c r="E10" s="62">
        <v>645</v>
      </c>
      <c r="F10" s="62">
        <v>4457</v>
      </c>
      <c r="G10" s="63">
        <v>617345</v>
      </c>
      <c r="H10" s="64">
        <v>2095</v>
      </c>
      <c r="I10" s="64">
        <v>1709</v>
      </c>
      <c r="J10" s="61">
        <v>5979</v>
      </c>
      <c r="K10" s="61">
        <v>3842</v>
      </c>
      <c r="L10" s="51">
        <v>2.8539379469999999</v>
      </c>
      <c r="M10" s="52">
        <v>0.24810516299999999</v>
      </c>
      <c r="N10" s="51">
        <v>0.17630874699999999</v>
      </c>
      <c r="O10" s="52">
        <v>0.109690883</v>
      </c>
      <c r="P10" s="52">
        <v>0.110473458</v>
      </c>
      <c r="Q10" s="132">
        <v>7181396.8635073127</v>
      </c>
    </row>
    <row r="11" spans="2:17" s="128" customFormat="1">
      <c r="B11" s="129">
        <v>42231</v>
      </c>
      <c r="C11" s="60">
        <v>194</v>
      </c>
      <c r="D11" s="61">
        <v>263</v>
      </c>
      <c r="E11" s="62">
        <v>793</v>
      </c>
      <c r="F11" s="62">
        <v>4543</v>
      </c>
      <c r="G11" s="63">
        <v>376092</v>
      </c>
      <c r="H11" s="64">
        <v>1581</v>
      </c>
      <c r="I11" s="64">
        <v>1138</v>
      </c>
      <c r="J11" s="61">
        <v>5826</v>
      </c>
      <c r="K11" s="61">
        <v>2117</v>
      </c>
      <c r="L11" s="51">
        <v>3.6850094879999999</v>
      </c>
      <c r="M11" s="52">
        <v>0.33270201999999999</v>
      </c>
      <c r="N11" s="51">
        <v>0.20006865800000001</v>
      </c>
      <c r="O11" s="52">
        <v>4.5530259999999999E-3</v>
      </c>
      <c r="P11" s="52">
        <v>0.34036646300000001</v>
      </c>
      <c r="Q11" s="132">
        <v>6213813.6080391482</v>
      </c>
    </row>
    <row r="12" spans="2:17" s="128" customFormat="1">
      <c r="B12" s="129">
        <v>42200</v>
      </c>
      <c r="C12" s="60">
        <v>77</v>
      </c>
      <c r="D12" s="61">
        <v>72</v>
      </c>
      <c r="E12" s="62">
        <v>307</v>
      </c>
      <c r="F12" s="62">
        <v>778</v>
      </c>
      <c r="G12" s="63">
        <v>182976</v>
      </c>
      <c r="H12" s="64">
        <v>719</v>
      </c>
      <c r="I12" s="64">
        <v>275</v>
      </c>
      <c r="J12" s="61">
        <v>2579</v>
      </c>
      <c r="K12" s="61">
        <v>529</v>
      </c>
      <c r="L12" s="51">
        <v>3.5869262869999998</v>
      </c>
      <c r="M12" s="52">
        <v>0.27276176000000002</v>
      </c>
      <c r="N12" s="51">
        <v>0.22509112100000001</v>
      </c>
      <c r="O12" s="52">
        <v>5.3557769999999999E-3</v>
      </c>
      <c r="P12" s="52">
        <v>8.0336650000000006E-3</v>
      </c>
      <c r="Q12" s="132">
        <v>1190626.0121720091</v>
      </c>
    </row>
    <row r="13" spans="2:17" s="128" customFormat="1">
      <c r="B13" s="129">
        <v>42170</v>
      </c>
      <c r="C13" s="60">
        <v>32</v>
      </c>
      <c r="D13" s="61">
        <v>19</v>
      </c>
      <c r="E13" s="62">
        <v>69</v>
      </c>
      <c r="F13" s="62">
        <v>846</v>
      </c>
      <c r="G13" s="63">
        <v>184217</v>
      </c>
      <c r="H13" s="64">
        <v>464</v>
      </c>
      <c r="I13" s="64">
        <v>32</v>
      </c>
      <c r="J13" s="61">
        <v>1116</v>
      </c>
      <c r="K13" s="61">
        <v>31</v>
      </c>
      <c r="L13" s="51">
        <v>2.4051724139999999</v>
      </c>
      <c r="M13" s="52">
        <v>0.147770701</v>
      </c>
      <c r="N13" s="51">
        <v>0.19738351300000001</v>
      </c>
      <c r="O13" s="52">
        <v>5.3097350000000003E-3</v>
      </c>
      <c r="P13" s="52">
        <v>7.0796460000000002E-3</v>
      </c>
      <c r="Q13" s="132">
        <v>180960.020417322</v>
      </c>
    </row>
    <row r="14" spans="2:17" s="128" customFormat="1">
      <c r="B14" s="129">
        <v>42139</v>
      </c>
      <c r="C14" s="60">
        <v>49</v>
      </c>
      <c r="D14" s="61">
        <v>32</v>
      </c>
      <c r="E14" s="62">
        <v>100</v>
      </c>
      <c r="F14" s="62">
        <v>620</v>
      </c>
      <c r="G14" s="63">
        <v>372874</v>
      </c>
      <c r="H14" s="64">
        <v>815</v>
      </c>
      <c r="I14" s="64">
        <v>43</v>
      </c>
      <c r="J14" s="61">
        <v>1630</v>
      </c>
      <c r="K14" s="61">
        <v>43</v>
      </c>
      <c r="L14" s="51">
        <v>2</v>
      </c>
      <c r="M14" s="52">
        <v>0.110209601</v>
      </c>
      <c r="N14" s="51">
        <v>0.158466258</v>
      </c>
      <c r="O14" s="52">
        <v>1.5098722E-2</v>
      </c>
      <c r="P14" s="52">
        <v>3.8327526000000001E-2</v>
      </c>
      <c r="Q14" s="132">
        <v>326878.65068336995</v>
      </c>
    </row>
    <row r="15" spans="2:17" s="128" customFormat="1">
      <c r="B15" s="129">
        <v>42109</v>
      </c>
      <c r="C15" s="60">
        <v>57</v>
      </c>
      <c r="D15" s="61">
        <v>42</v>
      </c>
      <c r="E15" s="62">
        <v>113</v>
      </c>
      <c r="F15" s="62">
        <v>1251</v>
      </c>
      <c r="G15" s="63">
        <v>397062</v>
      </c>
      <c r="H15" s="64">
        <v>494</v>
      </c>
      <c r="I15" s="64">
        <v>61</v>
      </c>
      <c r="J15" s="61">
        <v>1038</v>
      </c>
      <c r="K15" s="61">
        <v>58</v>
      </c>
      <c r="L15" s="51">
        <v>2.1012145750000002</v>
      </c>
      <c r="M15" s="52">
        <v>6.2722193999999995E-2</v>
      </c>
      <c r="N15" s="51">
        <v>0.18206165699999999</v>
      </c>
      <c r="O15" s="52">
        <v>5.617978E-3</v>
      </c>
      <c r="P15" s="52">
        <v>2.2471910000000001E-2</v>
      </c>
      <c r="Q15" s="132">
        <v>156002.98997193298</v>
      </c>
    </row>
    <row r="16" spans="2:17" s="128" customFormat="1">
      <c r="B16" s="129">
        <v>42078</v>
      </c>
      <c r="C16" s="60">
        <v>174</v>
      </c>
      <c r="D16" s="61">
        <v>79</v>
      </c>
      <c r="E16" s="62">
        <v>341</v>
      </c>
      <c r="F16" s="62">
        <v>664</v>
      </c>
      <c r="G16" s="63">
        <v>247938</v>
      </c>
      <c r="H16" s="64">
        <v>217</v>
      </c>
      <c r="I16" s="64">
        <v>95</v>
      </c>
      <c r="J16" s="61">
        <v>337</v>
      </c>
      <c r="K16" s="100">
        <v>98</v>
      </c>
      <c r="L16" s="54">
        <v>1.5529953919999999</v>
      </c>
      <c r="M16" s="52">
        <v>4.3618089999999998E-2</v>
      </c>
      <c r="N16" s="54">
        <v>0.18293768499999999</v>
      </c>
      <c r="O16" s="52">
        <v>1.3850416000000001E-2</v>
      </c>
      <c r="P16" s="52">
        <v>4.7091412999999999E-2</v>
      </c>
      <c r="Q16" s="132">
        <v>23026.274942107499</v>
      </c>
    </row>
    <row r="17" spans="2:20" s="128" customFormat="1">
      <c r="B17" s="129">
        <v>42050</v>
      </c>
      <c r="C17" s="60">
        <v>51</v>
      </c>
      <c r="D17" s="61">
        <v>30</v>
      </c>
      <c r="E17" s="62">
        <v>97</v>
      </c>
      <c r="F17" s="62">
        <v>103</v>
      </c>
      <c r="G17" s="63">
        <v>170680</v>
      </c>
      <c r="H17" s="64">
        <v>134</v>
      </c>
      <c r="I17" s="64">
        <v>32</v>
      </c>
      <c r="J17" s="65">
        <v>201</v>
      </c>
      <c r="K17" s="99">
        <v>41</v>
      </c>
      <c r="L17" s="54">
        <v>1.5</v>
      </c>
      <c r="M17" s="52">
        <v>3.4706035000000003E-2</v>
      </c>
      <c r="N17" s="54">
        <v>0.161044776</v>
      </c>
      <c r="O17" s="52">
        <v>3.2558139999999999E-2</v>
      </c>
      <c r="P17" s="52">
        <v>3.2558139999999999E-2</v>
      </c>
      <c r="Q17" s="132">
        <v>6603.4799951040004</v>
      </c>
    </row>
    <row r="18" spans="2:20" s="128" customFormat="1" ht="15.75" thickBot="1">
      <c r="B18" s="129">
        <v>42019</v>
      </c>
      <c r="C18" s="60">
        <v>87</v>
      </c>
      <c r="D18" s="61">
        <v>65</v>
      </c>
      <c r="E18" s="62">
        <v>256</v>
      </c>
      <c r="F18" s="62">
        <v>312</v>
      </c>
      <c r="G18" s="63">
        <v>130353</v>
      </c>
      <c r="H18" s="66">
        <v>182</v>
      </c>
      <c r="I18" s="66">
        <v>75</v>
      </c>
      <c r="J18" s="67">
        <v>336</v>
      </c>
      <c r="K18" s="67">
        <v>88</v>
      </c>
      <c r="L18" s="55">
        <v>1.846153846</v>
      </c>
      <c r="M18" s="52">
        <v>6.7482388000000004E-2</v>
      </c>
      <c r="N18" s="55">
        <v>0.17095238099999999</v>
      </c>
      <c r="O18" s="52">
        <v>5.8479530000000004E-3</v>
      </c>
      <c r="P18" s="52">
        <v>1.1695906000000001E-2</v>
      </c>
      <c r="Q18" s="132">
        <v>19558.320005448</v>
      </c>
    </row>
    <row r="19" spans="2:20" s="128" customFormat="1">
      <c r="B19" s="56" t="s">
        <v>80</v>
      </c>
      <c r="C19" s="57"/>
      <c r="D19" s="58"/>
      <c r="E19" s="58"/>
      <c r="F19" s="58"/>
      <c r="G19" s="59"/>
      <c r="H19" s="58"/>
      <c r="I19" s="58"/>
      <c r="J19" s="58"/>
      <c r="K19" s="58"/>
      <c r="L19" s="58"/>
      <c r="M19" s="58"/>
      <c r="N19" s="58"/>
      <c r="O19" s="58"/>
      <c r="P19" s="58"/>
      <c r="Q19" s="59"/>
      <c r="S19" s="17"/>
      <c r="T19" s="17"/>
    </row>
    <row r="20" spans="2:20" s="128" customFormat="1">
      <c r="B20" s="129">
        <v>42292</v>
      </c>
      <c r="C20" s="60">
        <v>160</v>
      </c>
      <c r="D20" s="61">
        <v>239</v>
      </c>
      <c r="E20" s="61">
        <v>538</v>
      </c>
      <c r="F20" s="61">
        <v>2493</v>
      </c>
      <c r="G20" s="63">
        <v>404994</v>
      </c>
      <c r="H20" s="64">
        <v>1301</v>
      </c>
      <c r="I20" s="64">
        <v>557</v>
      </c>
      <c r="J20" s="61">
        <v>4000</v>
      </c>
      <c r="K20" s="61">
        <v>836</v>
      </c>
      <c r="L20" s="51">
        <v>3.0745580320000001</v>
      </c>
      <c r="M20" s="52">
        <v>0.189153824</v>
      </c>
      <c r="N20" s="51">
        <v>0.1095925</v>
      </c>
      <c r="O20" s="52">
        <v>4.112554E-3</v>
      </c>
      <c r="P20" s="52">
        <v>0.12943722899999999</v>
      </c>
      <c r="Q20" s="132">
        <v>1467224.3900000001</v>
      </c>
    </row>
    <row r="21" spans="2:20" s="128" customFormat="1">
      <c r="B21" s="129">
        <v>42262</v>
      </c>
      <c r="C21" s="60">
        <v>58</v>
      </c>
      <c r="D21" s="61">
        <v>66</v>
      </c>
      <c r="E21" s="61">
        <v>276</v>
      </c>
      <c r="F21" s="61">
        <v>477</v>
      </c>
      <c r="G21" s="63">
        <v>224907</v>
      </c>
      <c r="H21" s="64">
        <v>377</v>
      </c>
      <c r="I21" s="64">
        <v>119</v>
      </c>
      <c r="J21" s="61">
        <v>1223</v>
      </c>
      <c r="K21" s="61">
        <v>155</v>
      </c>
      <c r="L21" s="51">
        <v>3.2440318299999999</v>
      </c>
      <c r="M21" s="52">
        <v>0.10516039100000001</v>
      </c>
      <c r="N21" s="51">
        <v>0.16769419499999999</v>
      </c>
      <c r="O21" s="52">
        <v>8.0000000000000002E-3</v>
      </c>
      <c r="P21" s="52">
        <v>1.12E-2</v>
      </c>
      <c r="Q21" s="132">
        <v>192169.33045444498</v>
      </c>
    </row>
    <row r="22" spans="2:20" s="128" customFormat="1">
      <c r="B22" s="129">
        <v>42231</v>
      </c>
      <c r="C22" s="60">
        <v>46</v>
      </c>
      <c r="D22" s="61">
        <v>76</v>
      </c>
      <c r="E22" s="61">
        <v>439</v>
      </c>
      <c r="F22" s="61">
        <v>611</v>
      </c>
      <c r="G22" s="63">
        <v>137590</v>
      </c>
      <c r="H22" s="64">
        <v>539</v>
      </c>
      <c r="I22" s="64">
        <v>194</v>
      </c>
      <c r="J22" s="61">
        <v>1861</v>
      </c>
      <c r="K22" s="61">
        <v>213</v>
      </c>
      <c r="L22" s="51">
        <v>3.4526901670000001</v>
      </c>
      <c r="M22" s="52">
        <v>0.219194795</v>
      </c>
      <c r="N22" s="51">
        <v>0.196518001</v>
      </c>
      <c r="O22" s="52">
        <v>3.0000000000000001E-3</v>
      </c>
      <c r="P22" s="52">
        <v>0.37666666700000001</v>
      </c>
      <c r="Q22" s="132">
        <v>513288.01980491355</v>
      </c>
    </row>
    <row r="23" spans="2:20" s="128" customFormat="1">
      <c r="B23" s="129">
        <v>42200</v>
      </c>
      <c r="C23" s="60">
        <v>56</v>
      </c>
      <c r="D23" s="61">
        <v>88</v>
      </c>
      <c r="E23" s="61">
        <v>191</v>
      </c>
      <c r="F23" s="61">
        <v>519</v>
      </c>
      <c r="G23" s="63">
        <v>171005</v>
      </c>
      <c r="H23" s="64">
        <v>865</v>
      </c>
      <c r="I23" s="64">
        <v>199</v>
      </c>
      <c r="J23" s="61">
        <v>2049</v>
      </c>
      <c r="K23" s="61">
        <v>276</v>
      </c>
      <c r="L23" s="51">
        <v>2.3687861269999999</v>
      </c>
      <c r="M23" s="52">
        <v>0.26615384600000003</v>
      </c>
      <c r="N23" s="51">
        <v>0.216847243</v>
      </c>
      <c r="O23" s="52">
        <v>1.0973281999999999E-2</v>
      </c>
      <c r="P23" s="52">
        <v>1.1450382E-2</v>
      </c>
      <c r="Q23" s="132">
        <v>752900.24153691146</v>
      </c>
    </row>
    <row r="24" spans="2:20" s="128" customFormat="1">
      <c r="B24" s="129">
        <v>42170</v>
      </c>
      <c r="C24" s="60">
        <v>73</v>
      </c>
      <c r="D24" s="61">
        <v>44</v>
      </c>
      <c r="E24" s="61">
        <v>193</v>
      </c>
      <c r="F24" s="61">
        <v>951</v>
      </c>
      <c r="G24" s="63">
        <v>195527</v>
      </c>
      <c r="H24" s="64">
        <v>1025</v>
      </c>
      <c r="I24" s="64">
        <v>86</v>
      </c>
      <c r="J24" s="61">
        <v>1947</v>
      </c>
      <c r="K24" s="61">
        <v>89</v>
      </c>
      <c r="L24" s="51">
        <v>1.899512195</v>
      </c>
      <c r="M24" s="52">
        <v>0.26221539999999999</v>
      </c>
      <c r="N24" s="51">
        <v>0.206091423</v>
      </c>
      <c r="O24" s="52">
        <v>6.5756199999999999E-3</v>
      </c>
      <c r="P24" s="52">
        <v>8.5988869999999995E-3</v>
      </c>
      <c r="Q24" s="132">
        <v>631382.61091420345</v>
      </c>
    </row>
    <row r="25" spans="2:20" s="128" customFormat="1">
      <c r="B25" s="129">
        <v>42139</v>
      </c>
      <c r="C25" s="60">
        <v>84</v>
      </c>
      <c r="D25" s="61">
        <v>56</v>
      </c>
      <c r="E25" s="61">
        <v>205</v>
      </c>
      <c r="F25" s="61">
        <v>1582</v>
      </c>
      <c r="G25" s="63">
        <v>129277</v>
      </c>
      <c r="H25" s="64">
        <v>584</v>
      </c>
      <c r="I25" s="64">
        <v>76</v>
      </c>
      <c r="J25" s="61">
        <v>914</v>
      </c>
      <c r="K25" s="61">
        <v>81</v>
      </c>
      <c r="L25" s="51">
        <v>1.5650684930000001</v>
      </c>
      <c r="M25" s="52">
        <v>0.22315628600000001</v>
      </c>
      <c r="N25" s="51">
        <v>0.198107221</v>
      </c>
      <c r="O25" s="52">
        <v>8.6021510000000006E-3</v>
      </c>
      <c r="P25" s="52">
        <v>8.6021510000000006E-3</v>
      </c>
      <c r="Q25" s="132">
        <v>149835.42499503499</v>
      </c>
    </row>
    <row r="26" spans="2:20" s="128" customFormat="1">
      <c r="B26" s="129">
        <v>42109</v>
      </c>
      <c r="C26" s="60">
        <v>20</v>
      </c>
      <c r="D26" s="61">
        <v>22</v>
      </c>
      <c r="E26" s="61">
        <v>69</v>
      </c>
      <c r="F26" s="61">
        <v>191</v>
      </c>
      <c r="G26" s="63">
        <v>66236</v>
      </c>
      <c r="H26" s="64">
        <v>87</v>
      </c>
      <c r="I26" s="64">
        <v>32</v>
      </c>
      <c r="J26" s="61">
        <v>166</v>
      </c>
      <c r="K26" s="61">
        <v>35</v>
      </c>
      <c r="L26" s="51">
        <v>1.908045977</v>
      </c>
      <c r="M26" s="52">
        <v>4.9152542E-2</v>
      </c>
      <c r="N26" s="51">
        <v>0.17608433700000001</v>
      </c>
      <c r="O26" s="52">
        <v>1.1695906000000001E-2</v>
      </c>
      <c r="P26" s="52">
        <v>1.7543860000000001E-2</v>
      </c>
      <c r="Q26" s="132">
        <v>4676.7999907200001</v>
      </c>
    </row>
    <row r="27" spans="2:20" s="128" customFormat="1">
      <c r="B27" s="129">
        <v>42078</v>
      </c>
      <c r="C27" s="60">
        <v>69</v>
      </c>
      <c r="D27" s="61">
        <v>30</v>
      </c>
      <c r="E27" s="61">
        <v>168</v>
      </c>
      <c r="F27" s="61">
        <v>122</v>
      </c>
      <c r="G27" s="63">
        <v>127625</v>
      </c>
      <c r="H27" s="64">
        <v>76</v>
      </c>
      <c r="I27" s="64">
        <v>40</v>
      </c>
      <c r="J27" s="61">
        <v>169</v>
      </c>
      <c r="K27" s="61">
        <v>41</v>
      </c>
      <c r="L27" s="51">
        <v>2.2236842110000001</v>
      </c>
      <c r="M27" s="52">
        <v>3.1033075E-2</v>
      </c>
      <c r="N27" s="51">
        <v>0.13964497000000001</v>
      </c>
      <c r="O27" s="52">
        <v>5.5865919999999996E-3</v>
      </c>
      <c r="P27" s="52">
        <v>4.4692737000000003E-2</v>
      </c>
      <c r="Q27" s="132">
        <v>3846.7999885900003</v>
      </c>
    </row>
    <row r="28" spans="2:20" s="128" customFormat="1">
      <c r="B28" s="129">
        <v>42050</v>
      </c>
      <c r="C28" s="60">
        <v>109</v>
      </c>
      <c r="D28" s="61">
        <v>88</v>
      </c>
      <c r="E28" s="61">
        <v>190</v>
      </c>
      <c r="F28" s="61">
        <v>226</v>
      </c>
      <c r="G28" s="63">
        <v>61562</v>
      </c>
      <c r="H28" s="64">
        <v>148</v>
      </c>
      <c r="I28" s="64">
        <v>120</v>
      </c>
      <c r="J28" s="61">
        <v>400</v>
      </c>
      <c r="K28" s="100">
        <v>127</v>
      </c>
      <c r="L28" s="54">
        <v>2.7027027029999999</v>
      </c>
      <c r="M28" s="52">
        <v>0.113236419</v>
      </c>
      <c r="N28" s="54">
        <v>0.10664999999999999</v>
      </c>
      <c r="O28" s="52">
        <v>2.380952E-3</v>
      </c>
      <c r="P28" s="52">
        <v>4.5238094999999999E-2</v>
      </c>
      <c r="Q28" s="132">
        <v>16957.349999999999</v>
      </c>
    </row>
    <row r="29" spans="2:20" s="128" customFormat="1" ht="15.75" thickBot="1">
      <c r="B29" s="129">
        <v>42019</v>
      </c>
      <c r="C29" s="68">
        <v>86</v>
      </c>
      <c r="D29" s="67">
        <v>71</v>
      </c>
      <c r="E29" s="67">
        <v>299</v>
      </c>
      <c r="F29" s="67">
        <v>202</v>
      </c>
      <c r="G29" s="69">
        <v>40345</v>
      </c>
      <c r="H29" s="66">
        <v>136</v>
      </c>
      <c r="I29" s="66">
        <v>89</v>
      </c>
      <c r="J29" s="67">
        <v>368</v>
      </c>
      <c r="K29" s="67">
        <v>113</v>
      </c>
      <c r="L29" s="55">
        <v>2.7058823529999998</v>
      </c>
      <c r="M29" s="52">
        <v>0.120567376</v>
      </c>
      <c r="N29" s="55">
        <v>0.118722826</v>
      </c>
      <c r="O29" s="52">
        <v>0</v>
      </c>
      <c r="P29" s="52">
        <v>2.3684211E-2</v>
      </c>
      <c r="Q29" s="132">
        <v>15422.569988704001</v>
      </c>
    </row>
    <row r="30" spans="2:20" s="128" customFormat="1">
      <c r="B30" s="56" t="s">
        <v>84</v>
      </c>
      <c r="C30" s="57"/>
      <c r="D30" s="58"/>
      <c r="E30" s="58"/>
      <c r="F30" s="58"/>
      <c r="G30" s="59"/>
      <c r="H30" s="58"/>
      <c r="I30" s="58"/>
      <c r="J30" s="58"/>
      <c r="K30" s="58"/>
      <c r="L30" s="58"/>
      <c r="M30" s="58"/>
      <c r="N30" s="58"/>
      <c r="O30" s="58"/>
      <c r="P30" s="58"/>
      <c r="Q30" s="59"/>
    </row>
    <row r="31" spans="2:20" s="128" customFormat="1">
      <c r="B31" s="129">
        <v>42292</v>
      </c>
      <c r="C31" s="60">
        <v>101</v>
      </c>
      <c r="D31" s="61">
        <v>109</v>
      </c>
      <c r="E31" s="61">
        <v>211</v>
      </c>
      <c r="F31" s="61">
        <v>265</v>
      </c>
      <c r="G31" s="63">
        <v>201517</v>
      </c>
      <c r="H31" s="64">
        <v>122</v>
      </c>
      <c r="I31" s="64">
        <v>118</v>
      </c>
      <c r="J31" s="61">
        <v>273</v>
      </c>
      <c r="K31" s="61">
        <v>166</v>
      </c>
      <c r="L31" s="51">
        <v>2.2377049179999999</v>
      </c>
      <c r="M31" s="52">
        <v>0.68926553700000004</v>
      </c>
      <c r="N31" s="51">
        <v>3.8677289379999999</v>
      </c>
      <c r="O31" s="52">
        <v>8.7403598999999998E-2</v>
      </c>
      <c r="P31" s="52">
        <v>0.13110539800000001</v>
      </c>
      <c r="Q31" s="132">
        <v>358474.65502512298</v>
      </c>
    </row>
    <row r="32" spans="2:20" s="128" customFormat="1">
      <c r="B32" s="129">
        <v>42262</v>
      </c>
      <c r="C32" s="60">
        <v>78</v>
      </c>
      <c r="D32" s="61">
        <v>88</v>
      </c>
      <c r="E32" s="61">
        <v>153</v>
      </c>
      <c r="F32" s="61">
        <v>194</v>
      </c>
      <c r="G32" s="63">
        <v>169342</v>
      </c>
      <c r="H32" s="64">
        <v>89</v>
      </c>
      <c r="I32" s="64">
        <v>85</v>
      </c>
      <c r="J32" s="61">
        <v>216</v>
      </c>
      <c r="K32" s="61">
        <v>136</v>
      </c>
      <c r="L32" s="51">
        <v>2.4269662919999999</v>
      </c>
      <c r="M32" s="52">
        <v>0.63571428600000002</v>
      </c>
      <c r="N32" s="51">
        <v>3.8489351850000002</v>
      </c>
      <c r="O32" s="52">
        <v>4.7101448999999997E-2</v>
      </c>
      <c r="P32" s="52">
        <v>0.108695652</v>
      </c>
      <c r="Q32" s="132">
        <v>218650.30998948001</v>
      </c>
    </row>
    <row r="33" spans="2:20" s="128" customFormat="1">
      <c r="B33" s="129">
        <v>42231</v>
      </c>
      <c r="C33" s="60">
        <v>114</v>
      </c>
      <c r="D33" s="61">
        <v>83</v>
      </c>
      <c r="E33" s="61">
        <v>159</v>
      </c>
      <c r="F33" s="61">
        <v>160</v>
      </c>
      <c r="G33" s="63">
        <v>196680</v>
      </c>
      <c r="H33" s="64">
        <v>87</v>
      </c>
      <c r="I33" s="64">
        <v>85</v>
      </c>
      <c r="J33" s="61">
        <v>174</v>
      </c>
      <c r="K33" s="61">
        <v>123</v>
      </c>
      <c r="L33" s="51">
        <v>2</v>
      </c>
      <c r="M33" s="52">
        <v>0.56129032300000004</v>
      </c>
      <c r="N33" s="51">
        <v>3.871436782</v>
      </c>
      <c r="O33" s="52">
        <v>7.0484581000000004E-2</v>
      </c>
      <c r="P33" s="52">
        <v>0.12775330400000001</v>
      </c>
      <c r="Q33" s="132">
        <v>157966.235015946</v>
      </c>
    </row>
    <row r="34" spans="2:20" s="128" customFormat="1">
      <c r="B34" s="129">
        <v>42200</v>
      </c>
      <c r="C34" s="60">
        <v>89</v>
      </c>
      <c r="D34" s="61">
        <v>89</v>
      </c>
      <c r="E34" s="61">
        <v>144</v>
      </c>
      <c r="F34" s="61">
        <v>158</v>
      </c>
      <c r="G34" s="63">
        <v>147222</v>
      </c>
      <c r="H34" s="64">
        <v>73</v>
      </c>
      <c r="I34" s="64">
        <v>71</v>
      </c>
      <c r="J34" s="61">
        <v>143</v>
      </c>
      <c r="K34" s="61">
        <v>112</v>
      </c>
      <c r="L34" s="51">
        <v>1.95890411</v>
      </c>
      <c r="M34" s="52">
        <v>0.54074074100000002</v>
      </c>
      <c r="N34" s="51">
        <v>3.884125874</v>
      </c>
      <c r="O34" s="52">
        <v>9.7087379000000001E-2</v>
      </c>
      <c r="P34" s="52">
        <v>0.17475728200000001</v>
      </c>
      <c r="Q34" s="132">
        <v>110808.284996409</v>
      </c>
    </row>
    <row r="35" spans="2:20" s="128" customFormat="1">
      <c r="B35" s="129">
        <v>42170</v>
      </c>
      <c r="C35" s="60">
        <v>72</v>
      </c>
      <c r="D35" s="61">
        <v>49</v>
      </c>
      <c r="E35" s="61">
        <v>93</v>
      </c>
      <c r="F35" s="61">
        <v>81</v>
      </c>
      <c r="G35" s="63">
        <v>81798</v>
      </c>
      <c r="H35" s="64">
        <v>40</v>
      </c>
      <c r="I35" s="64">
        <v>39</v>
      </c>
      <c r="J35" s="61">
        <v>84</v>
      </c>
      <c r="K35" s="61">
        <v>55</v>
      </c>
      <c r="L35" s="51">
        <v>2.1</v>
      </c>
      <c r="M35" s="52">
        <v>0.5</v>
      </c>
      <c r="N35" s="51">
        <v>3.8676190479999999</v>
      </c>
      <c r="O35" s="52">
        <v>9.7560975999999994E-2</v>
      </c>
      <c r="P35" s="52">
        <v>0.18699187</v>
      </c>
      <c r="Q35" s="132">
        <v>35411.920003487998</v>
      </c>
    </row>
    <row r="36" spans="2:20" s="128" customFormat="1">
      <c r="B36" s="129">
        <v>42139</v>
      </c>
      <c r="C36" s="60">
        <v>20</v>
      </c>
      <c r="D36" s="61">
        <v>6</v>
      </c>
      <c r="E36" s="61">
        <v>29</v>
      </c>
      <c r="F36" s="61">
        <v>10</v>
      </c>
      <c r="G36" s="63">
        <v>43772</v>
      </c>
      <c r="H36" s="64">
        <v>5</v>
      </c>
      <c r="I36" s="64">
        <v>5</v>
      </c>
      <c r="J36" s="61">
        <v>11</v>
      </c>
      <c r="K36" s="61">
        <v>7</v>
      </c>
      <c r="L36" s="51">
        <v>2.2000000000000002</v>
      </c>
      <c r="M36" s="52">
        <v>0.12195122</v>
      </c>
      <c r="N36" s="51">
        <v>3.7636363639999999</v>
      </c>
      <c r="O36" s="52">
        <v>0.133333333</v>
      </c>
      <c r="P36" s="52">
        <v>0.133333333</v>
      </c>
      <c r="Q36" s="132">
        <v>579.600000056</v>
      </c>
    </row>
    <row r="37" spans="2:20" s="128" customFormat="1">
      <c r="B37" s="129">
        <v>42109</v>
      </c>
      <c r="C37" s="60">
        <v>14</v>
      </c>
      <c r="D37" s="61">
        <v>12</v>
      </c>
      <c r="E37" s="61">
        <v>20</v>
      </c>
      <c r="F37" s="61">
        <v>14</v>
      </c>
      <c r="G37" s="63">
        <v>19621</v>
      </c>
      <c r="H37" s="64">
        <v>8</v>
      </c>
      <c r="I37" s="64">
        <v>8</v>
      </c>
      <c r="J37" s="61">
        <v>20</v>
      </c>
      <c r="K37" s="61">
        <v>13</v>
      </c>
      <c r="L37" s="51">
        <v>2.5</v>
      </c>
      <c r="M37" s="52">
        <v>0.47058823500000002</v>
      </c>
      <c r="N37" s="51">
        <v>3.8424999999999998</v>
      </c>
      <c r="O37" s="52">
        <v>0</v>
      </c>
      <c r="P37" s="52">
        <v>4.7619047999999997E-2</v>
      </c>
      <c r="Q37" s="132">
        <v>1882.8249999999998</v>
      </c>
    </row>
    <row r="38" spans="2:20" s="128" customFormat="1">
      <c r="B38" s="129">
        <v>42078</v>
      </c>
      <c r="C38" s="60">
        <v>12</v>
      </c>
      <c r="D38" s="61">
        <v>5</v>
      </c>
      <c r="E38" s="61">
        <v>15</v>
      </c>
      <c r="F38" s="61">
        <v>5</v>
      </c>
      <c r="G38" s="63">
        <v>43411</v>
      </c>
      <c r="H38" s="64">
        <v>5</v>
      </c>
      <c r="I38" s="64">
        <v>5</v>
      </c>
      <c r="J38" s="61">
        <v>6</v>
      </c>
      <c r="K38" s="61">
        <v>5</v>
      </c>
      <c r="L38" s="51">
        <v>1.2</v>
      </c>
      <c r="M38" s="52">
        <v>0.1</v>
      </c>
      <c r="N38" s="51">
        <v>3.8250000000000002</v>
      </c>
      <c r="O38" s="52">
        <v>0</v>
      </c>
      <c r="P38" s="52">
        <v>0</v>
      </c>
      <c r="Q38" s="132">
        <v>240.97500000000002</v>
      </c>
    </row>
    <row r="39" spans="2:20" s="128" customFormat="1">
      <c r="B39" s="129">
        <v>42050</v>
      </c>
      <c r="C39" s="60">
        <v>10</v>
      </c>
      <c r="D39" s="61">
        <v>6</v>
      </c>
      <c r="E39" s="61">
        <v>16</v>
      </c>
      <c r="F39" s="61">
        <v>7</v>
      </c>
      <c r="G39" s="63">
        <v>19019</v>
      </c>
      <c r="H39" s="64">
        <v>4</v>
      </c>
      <c r="I39" s="64">
        <v>4</v>
      </c>
      <c r="J39" s="61">
        <v>5</v>
      </c>
      <c r="K39" s="100">
        <v>4</v>
      </c>
      <c r="L39" s="54">
        <v>1.25</v>
      </c>
      <c r="M39" s="52">
        <v>0.235294118</v>
      </c>
      <c r="N39" s="54">
        <v>3.5219999999999998</v>
      </c>
      <c r="O39" s="52">
        <v>0.2</v>
      </c>
      <c r="P39" s="52">
        <v>0.3</v>
      </c>
      <c r="Q39" s="132">
        <v>149.685</v>
      </c>
    </row>
    <row r="40" spans="2:20" s="128" customFormat="1" ht="15.75" thickBot="1">
      <c r="B40" s="129">
        <v>42019</v>
      </c>
      <c r="C40" s="60">
        <v>14</v>
      </c>
      <c r="D40" s="61">
        <v>5</v>
      </c>
      <c r="E40" s="61">
        <v>16</v>
      </c>
      <c r="F40" s="61">
        <v>5</v>
      </c>
      <c r="G40" s="63">
        <v>22697</v>
      </c>
      <c r="H40" s="64">
        <v>4</v>
      </c>
      <c r="I40" s="64">
        <v>4</v>
      </c>
      <c r="J40" s="61">
        <v>18</v>
      </c>
      <c r="K40" s="100">
        <v>4</v>
      </c>
      <c r="L40" s="55">
        <v>4.5</v>
      </c>
      <c r="M40" s="52">
        <v>0.21052631599999999</v>
      </c>
      <c r="N40" s="55">
        <v>3.2855555559999998</v>
      </c>
      <c r="O40" s="52">
        <v>0.05</v>
      </c>
      <c r="P40" s="52">
        <v>0.05</v>
      </c>
      <c r="Q40" s="132">
        <v>887.10000011999989</v>
      </c>
    </row>
    <row r="41" spans="2:20" s="128" customFormat="1">
      <c r="B41" s="56" t="s">
        <v>86</v>
      </c>
      <c r="C41" s="57"/>
      <c r="D41" s="58"/>
      <c r="E41" s="58"/>
      <c r="F41" s="58"/>
      <c r="G41" s="59"/>
      <c r="H41" s="58"/>
      <c r="I41" s="58"/>
      <c r="J41" s="58"/>
      <c r="K41" s="58"/>
      <c r="L41" s="58"/>
      <c r="M41" s="58"/>
      <c r="N41" s="58"/>
      <c r="O41" s="58"/>
      <c r="P41" s="58"/>
      <c r="Q41" s="59"/>
      <c r="S41" s="17"/>
      <c r="T41" s="17"/>
    </row>
    <row r="42" spans="2:20" s="128" customFormat="1">
      <c r="B42" s="129">
        <v>42292</v>
      </c>
      <c r="C42" s="60">
        <v>137</v>
      </c>
      <c r="D42" s="61">
        <v>124</v>
      </c>
      <c r="E42" s="61">
        <v>525</v>
      </c>
      <c r="F42" s="61">
        <v>2411</v>
      </c>
      <c r="G42" s="63">
        <v>73683</v>
      </c>
      <c r="H42" s="71">
        <v>777</v>
      </c>
      <c r="I42" s="71">
        <v>657</v>
      </c>
      <c r="J42" s="62">
        <v>2575</v>
      </c>
      <c r="K42" s="62">
        <v>1731</v>
      </c>
      <c r="L42" s="51">
        <v>3.3140283140000002</v>
      </c>
      <c r="M42" s="52">
        <v>0.23863636399999999</v>
      </c>
      <c r="N42" s="51">
        <v>4.4842717999999997E-2</v>
      </c>
      <c r="O42" s="52">
        <v>8.3222369999999997E-3</v>
      </c>
      <c r="P42" s="52">
        <v>0.129826897</v>
      </c>
      <c r="Q42" s="132">
        <v>331398.89669949998</v>
      </c>
    </row>
    <row r="43" spans="2:20" s="128" customFormat="1">
      <c r="B43" s="129">
        <v>42262</v>
      </c>
      <c r="C43" s="60">
        <v>26</v>
      </c>
      <c r="D43" s="61">
        <v>26</v>
      </c>
      <c r="E43" s="61">
        <v>75</v>
      </c>
      <c r="F43" s="61">
        <v>159</v>
      </c>
      <c r="G43" s="63">
        <v>40315</v>
      </c>
      <c r="H43" s="71">
        <v>207</v>
      </c>
      <c r="I43" s="71">
        <v>76</v>
      </c>
      <c r="J43" s="62">
        <v>817</v>
      </c>
      <c r="K43" s="62">
        <v>117</v>
      </c>
      <c r="L43" s="51">
        <v>3.946859903</v>
      </c>
      <c r="M43" s="52">
        <v>0.170933113</v>
      </c>
      <c r="N43" s="51">
        <v>4.5960832E-2</v>
      </c>
      <c r="O43" s="52">
        <v>0.222523745</v>
      </c>
      <c r="P43" s="52">
        <v>0.223202171</v>
      </c>
      <c r="Q43" s="132">
        <v>22849.174844223999</v>
      </c>
    </row>
    <row r="44" spans="2:20" s="128" customFormat="1">
      <c r="B44" s="129">
        <v>42231</v>
      </c>
      <c r="C44" s="60">
        <v>32</v>
      </c>
      <c r="D44" s="61">
        <v>37</v>
      </c>
      <c r="E44" s="61">
        <v>273</v>
      </c>
      <c r="F44" s="61">
        <v>588</v>
      </c>
      <c r="G44" s="63">
        <v>50630</v>
      </c>
      <c r="H44" s="71">
        <v>120</v>
      </c>
      <c r="I44" s="71">
        <v>70</v>
      </c>
      <c r="J44" s="62">
        <v>434</v>
      </c>
      <c r="K44" s="62">
        <v>121</v>
      </c>
      <c r="L44" s="51">
        <v>3.6166666670000001</v>
      </c>
      <c r="M44" s="52">
        <v>0.115718419</v>
      </c>
      <c r="N44" s="51">
        <v>5.0691244000000003E-2</v>
      </c>
      <c r="O44" s="52">
        <v>0</v>
      </c>
      <c r="P44" s="52">
        <v>0.58067632899999999</v>
      </c>
      <c r="Q44" s="132">
        <v>8194.9999612600004</v>
      </c>
    </row>
    <row r="45" spans="2:20" s="128" customFormat="1">
      <c r="B45" s="129">
        <v>42200</v>
      </c>
      <c r="C45" s="60">
        <v>17</v>
      </c>
      <c r="D45" s="61">
        <v>18</v>
      </c>
      <c r="E45" s="61">
        <v>67</v>
      </c>
      <c r="F45" s="61">
        <v>43</v>
      </c>
      <c r="G45" s="63">
        <v>28919</v>
      </c>
      <c r="H45" s="71">
        <v>30</v>
      </c>
      <c r="I45" s="71">
        <v>14</v>
      </c>
      <c r="J45" s="62">
        <v>52</v>
      </c>
      <c r="K45" s="62">
        <v>20</v>
      </c>
      <c r="L45" s="51">
        <v>1.733333333</v>
      </c>
      <c r="M45" s="52">
        <v>3.6275694999999997E-2</v>
      </c>
      <c r="N45" s="51">
        <v>3.4230769000000001E-2</v>
      </c>
      <c r="O45" s="52">
        <v>1.8181817999999999E-2</v>
      </c>
      <c r="P45" s="52">
        <v>3.6363635999999998E-2</v>
      </c>
      <c r="Q45" s="132">
        <v>103.23999930400001</v>
      </c>
    </row>
    <row r="46" spans="2:20" s="128" customFormat="1">
      <c r="B46" s="129">
        <v>42170</v>
      </c>
      <c r="C46" s="60">
        <v>4</v>
      </c>
      <c r="D46" s="61"/>
      <c r="E46" s="61">
        <v>6</v>
      </c>
      <c r="F46" s="61"/>
      <c r="G46" s="63">
        <v>22398</v>
      </c>
      <c r="H46" s="71"/>
      <c r="I46" s="71"/>
      <c r="J46" s="62"/>
      <c r="K46" s="62"/>
      <c r="L46" s="51"/>
      <c r="M46" s="52">
        <v>0</v>
      </c>
      <c r="N46" s="51">
        <v>0</v>
      </c>
      <c r="O46" s="52">
        <v>0.5</v>
      </c>
      <c r="P46" s="52">
        <v>0.5</v>
      </c>
      <c r="Q46" s="132">
        <v>0</v>
      </c>
    </row>
    <row r="47" spans="2:20" s="128" customFormat="1">
      <c r="B47" s="129">
        <v>42139</v>
      </c>
      <c r="C47" s="60">
        <v>2</v>
      </c>
      <c r="D47" s="61">
        <v>3</v>
      </c>
      <c r="E47" s="61">
        <v>5</v>
      </c>
      <c r="F47" s="61">
        <v>6</v>
      </c>
      <c r="G47" s="63">
        <v>71181</v>
      </c>
      <c r="H47" s="71">
        <v>84</v>
      </c>
      <c r="I47" s="71">
        <v>6</v>
      </c>
      <c r="J47" s="62">
        <v>134</v>
      </c>
      <c r="K47" s="62">
        <v>6</v>
      </c>
      <c r="L47" s="51">
        <v>1.595238095</v>
      </c>
      <c r="M47" s="52">
        <v>3.9961941000000001E-2</v>
      </c>
      <c r="N47" s="51">
        <v>3.9179103999999999E-2</v>
      </c>
      <c r="O47" s="52">
        <v>0</v>
      </c>
      <c r="P47" s="52">
        <v>0</v>
      </c>
      <c r="Q47" s="132">
        <v>603.74999263999996</v>
      </c>
    </row>
    <row r="48" spans="2:20" s="128" customFormat="1">
      <c r="B48" s="129">
        <v>42109</v>
      </c>
      <c r="C48" s="60">
        <v>53</v>
      </c>
      <c r="D48" s="61">
        <v>42</v>
      </c>
      <c r="E48" s="61">
        <v>123</v>
      </c>
      <c r="F48" s="61">
        <v>500</v>
      </c>
      <c r="G48" s="63">
        <v>39101</v>
      </c>
      <c r="H48" s="71">
        <v>365</v>
      </c>
      <c r="I48" s="71">
        <v>48</v>
      </c>
      <c r="J48" s="62">
        <v>440</v>
      </c>
      <c r="K48" s="62">
        <v>57</v>
      </c>
      <c r="L48" s="51">
        <v>1.2054794520000001</v>
      </c>
      <c r="M48" s="52">
        <v>0.28672427299999997</v>
      </c>
      <c r="N48" s="51">
        <v>5.2454544999999998E-2</v>
      </c>
      <c r="O48" s="52">
        <v>2.9787233999999999E-2</v>
      </c>
      <c r="P48" s="52">
        <v>3.4042553000000003E-2</v>
      </c>
      <c r="Q48" s="132">
        <v>10501.399909</v>
      </c>
    </row>
    <row r="49" spans="2:17" s="128" customFormat="1">
      <c r="B49" s="129">
        <v>42078</v>
      </c>
      <c r="C49" s="60">
        <v>6</v>
      </c>
      <c r="D49" s="61">
        <v>4</v>
      </c>
      <c r="E49" s="61">
        <v>13</v>
      </c>
      <c r="F49" s="61">
        <v>9</v>
      </c>
      <c r="G49" s="63">
        <v>3824</v>
      </c>
      <c r="H49" s="71">
        <v>119</v>
      </c>
      <c r="I49" s="71">
        <v>5</v>
      </c>
      <c r="J49" s="62">
        <v>354</v>
      </c>
      <c r="K49" s="62">
        <v>6</v>
      </c>
      <c r="L49" s="51">
        <v>2.9747899160000002</v>
      </c>
      <c r="M49" s="52">
        <v>0.55868544600000003</v>
      </c>
      <c r="N49" s="51">
        <v>5.0197739999999998E-2</v>
      </c>
      <c r="O49" s="52">
        <v>3.8860103999999999E-2</v>
      </c>
      <c r="P49" s="52">
        <v>4.4041451000000002E-2</v>
      </c>
      <c r="Q49" s="132">
        <v>4300.3399903199997</v>
      </c>
    </row>
    <row r="50" spans="2:17" s="128" customFormat="1">
      <c r="B50" s="129">
        <v>42050</v>
      </c>
      <c r="C50" s="60">
        <v>15</v>
      </c>
      <c r="D50" s="61">
        <v>11</v>
      </c>
      <c r="E50" s="61">
        <v>35</v>
      </c>
      <c r="F50" s="61">
        <v>357</v>
      </c>
      <c r="G50" s="63">
        <v>4299</v>
      </c>
      <c r="H50" s="64">
        <v>209</v>
      </c>
      <c r="I50" s="64">
        <v>10</v>
      </c>
      <c r="J50" s="61">
        <v>576</v>
      </c>
      <c r="K50" s="100">
        <v>10</v>
      </c>
      <c r="L50" s="54">
        <v>2.7559808609999998</v>
      </c>
      <c r="M50" s="52">
        <v>0.83599999999999997</v>
      </c>
      <c r="N50" s="54">
        <v>4.7899306000000003E-2</v>
      </c>
      <c r="O50" s="52">
        <v>0.10655737699999999</v>
      </c>
      <c r="P50" s="52">
        <v>0.10655737699999999</v>
      </c>
      <c r="Q50" s="132">
        <v>11104.975103040002</v>
      </c>
    </row>
    <row r="51" spans="2:17" s="128" customFormat="1" ht="15.75" thickBot="1">
      <c r="B51" s="129">
        <v>42019</v>
      </c>
      <c r="C51" s="60">
        <v>23</v>
      </c>
      <c r="D51" s="61">
        <v>18</v>
      </c>
      <c r="E51" s="61">
        <v>63</v>
      </c>
      <c r="F51" s="61">
        <v>36</v>
      </c>
      <c r="G51" s="63">
        <v>3957</v>
      </c>
      <c r="H51" s="66">
        <v>12</v>
      </c>
      <c r="I51" s="66">
        <v>10</v>
      </c>
      <c r="J51" s="67">
        <v>26</v>
      </c>
      <c r="K51" s="67">
        <v>11</v>
      </c>
      <c r="L51" s="55">
        <v>2.1666666669999999</v>
      </c>
      <c r="M51" s="52">
        <v>0.11881188099999999</v>
      </c>
      <c r="N51" s="55">
        <v>0.103076923</v>
      </c>
      <c r="O51" s="52">
        <v>0.31578947400000001</v>
      </c>
      <c r="P51" s="52">
        <v>0.22807017500000001</v>
      </c>
      <c r="Q51" s="132">
        <v>79.059999941000001</v>
      </c>
    </row>
    <row r="52" spans="2:17" s="128" customFormat="1">
      <c r="B52" s="56" t="s">
        <v>81</v>
      </c>
      <c r="C52" s="57"/>
      <c r="D52" s="58"/>
      <c r="E52" s="58"/>
      <c r="F52" s="58"/>
      <c r="G52" s="59"/>
      <c r="H52" s="58"/>
      <c r="I52" s="58"/>
      <c r="J52" s="58"/>
      <c r="K52" s="58"/>
      <c r="L52" s="58"/>
      <c r="M52" s="58"/>
      <c r="N52" s="58"/>
      <c r="O52" s="58"/>
      <c r="P52" s="58"/>
      <c r="Q52" s="59"/>
    </row>
    <row r="53" spans="2:17" s="128" customFormat="1">
      <c r="B53" s="129">
        <v>42292</v>
      </c>
      <c r="C53" s="60">
        <v>117</v>
      </c>
      <c r="D53" s="61">
        <v>145</v>
      </c>
      <c r="E53" s="61">
        <v>228</v>
      </c>
      <c r="F53" s="61">
        <v>268</v>
      </c>
      <c r="G53" s="49">
        <v>208344</v>
      </c>
      <c r="H53" s="64">
        <v>103</v>
      </c>
      <c r="I53" s="64">
        <v>99</v>
      </c>
      <c r="J53" s="61">
        <v>199</v>
      </c>
      <c r="K53" s="61">
        <v>148</v>
      </c>
      <c r="L53" s="51">
        <v>1.932038835</v>
      </c>
      <c r="M53" s="52">
        <v>0.56284153000000003</v>
      </c>
      <c r="N53" s="51">
        <v>3.8839698490000001</v>
      </c>
      <c r="O53" s="52">
        <v>0.133514986</v>
      </c>
      <c r="P53" s="52">
        <v>0.19073569500000001</v>
      </c>
      <c r="Q53" s="132">
        <v>212163.7949865495</v>
      </c>
    </row>
    <row r="54" spans="2:17" s="128" customFormat="1">
      <c r="B54" s="129">
        <v>42262</v>
      </c>
      <c r="C54" s="60">
        <v>69</v>
      </c>
      <c r="D54" s="61">
        <v>84</v>
      </c>
      <c r="E54" s="61">
        <v>145</v>
      </c>
      <c r="F54" s="61">
        <v>169</v>
      </c>
      <c r="G54" s="49">
        <v>155958</v>
      </c>
      <c r="H54" s="64">
        <v>79</v>
      </c>
      <c r="I54" s="64">
        <v>79</v>
      </c>
      <c r="J54" s="61">
        <v>202</v>
      </c>
      <c r="K54" s="61">
        <v>120</v>
      </c>
      <c r="L54" s="51">
        <v>2.5569620249999998</v>
      </c>
      <c r="M54" s="52">
        <v>0.63200000000000001</v>
      </c>
      <c r="N54" s="51">
        <v>3.7925247519999998</v>
      </c>
      <c r="O54" s="52">
        <v>9.0252708000000001E-2</v>
      </c>
      <c r="P54" s="52">
        <v>0.151624549</v>
      </c>
      <c r="Q54" s="132">
        <v>183861.59997695999</v>
      </c>
    </row>
    <row r="55" spans="2:17" s="128" customFormat="1">
      <c r="B55" s="129">
        <v>42231</v>
      </c>
      <c r="C55" s="60">
        <v>137</v>
      </c>
      <c r="D55" s="61">
        <v>84</v>
      </c>
      <c r="E55" s="61">
        <v>182</v>
      </c>
      <c r="F55" s="61">
        <v>159</v>
      </c>
      <c r="G55" s="49">
        <v>207664</v>
      </c>
      <c r="H55" s="64">
        <v>86</v>
      </c>
      <c r="I55" s="64">
        <v>85</v>
      </c>
      <c r="J55" s="61">
        <v>183</v>
      </c>
      <c r="K55" s="61">
        <v>123</v>
      </c>
      <c r="L55" s="51">
        <v>2.1279069769999999</v>
      </c>
      <c r="M55" s="52">
        <v>0.51190476200000001</v>
      </c>
      <c r="N55" s="51">
        <v>3.8563387979999999</v>
      </c>
      <c r="O55" s="52">
        <v>8.2987552000000006E-2</v>
      </c>
      <c r="P55" s="52">
        <v>0.13278008299999999</v>
      </c>
      <c r="Q55" s="132">
        <v>168311.83500810902</v>
      </c>
    </row>
    <row r="56" spans="2:17" s="128" customFormat="1">
      <c r="B56" s="129">
        <v>42200</v>
      </c>
      <c r="C56" s="60">
        <v>99</v>
      </c>
      <c r="D56" s="61">
        <v>82</v>
      </c>
      <c r="E56" s="61">
        <v>151</v>
      </c>
      <c r="F56" s="61">
        <v>148</v>
      </c>
      <c r="G56" s="49">
        <v>151410</v>
      </c>
      <c r="H56" s="64">
        <v>81</v>
      </c>
      <c r="I56" s="64">
        <v>77</v>
      </c>
      <c r="J56" s="61">
        <v>143</v>
      </c>
      <c r="K56" s="61">
        <v>112</v>
      </c>
      <c r="L56" s="51">
        <v>1.7654320990000001</v>
      </c>
      <c r="M56" s="52">
        <v>0.6</v>
      </c>
      <c r="N56" s="51">
        <v>3.8601398599999999</v>
      </c>
      <c r="O56" s="52">
        <v>8.4656085000000006E-2</v>
      </c>
      <c r="P56" s="52">
        <v>0.137566138</v>
      </c>
      <c r="Q56" s="132">
        <v>113987.99999586999</v>
      </c>
    </row>
    <row r="57" spans="2:17" s="128" customFormat="1">
      <c r="B57" s="129">
        <v>42170</v>
      </c>
      <c r="C57" s="60">
        <v>78</v>
      </c>
      <c r="D57" s="61">
        <v>50</v>
      </c>
      <c r="E57" s="61">
        <v>97</v>
      </c>
      <c r="F57" s="61">
        <v>64</v>
      </c>
      <c r="G57" s="49">
        <v>88030</v>
      </c>
      <c r="H57" s="64">
        <v>39</v>
      </c>
      <c r="I57" s="64">
        <v>37</v>
      </c>
      <c r="J57" s="61">
        <v>73</v>
      </c>
      <c r="K57" s="61">
        <v>46</v>
      </c>
      <c r="L57" s="51">
        <v>1.8717948719999999</v>
      </c>
      <c r="M57" s="52">
        <v>0.469879518</v>
      </c>
      <c r="N57" s="51">
        <v>3.8553424660000002</v>
      </c>
      <c r="O57" s="52">
        <v>4.5454544999999999E-2</v>
      </c>
      <c r="P57" s="52">
        <v>9.0909090999999997E-2</v>
      </c>
      <c r="Q57" s="132">
        <v>27440.400001755002</v>
      </c>
    </row>
    <row r="58" spans="2:17" s="128" customFormat="1">
      <c r="B58" s="129">
        <v>42139</v>
      </c>
      <c r="C58" s="60">
        <v>14</v>
      </c>
      <c r="D58" s="61">
        <v>15</v>
      </c>
      <c r="E58" s="61">
        <v>26</v>
      </c>
      <c r="F58" s="61">
        <v>25</v>
      </c>
      <c r="G58" s="49">
        <v>42476</v>
      </c>
      <c r="H58" s="64">
        <v>18</v>
      </c>
      <c r="I58" s="64">
        <v>11</v>
      </c>
      <c r="J58" s="61">
        <v>44</v>
      </c>
      <c r="K58" s="61">
        <v>14</v>
      </c>
      <c r="L58" s="51">
        <v>2.4444444440000002</v>
      </c>
      <c r="M58" s="52">
        <v>0.45</v>
      </c>
      <c r="N58" s="51">
        <v>3.9052272729999999</v>
      </c>
      <c r="O58" s="52">
        <v>9.2592593000000001E-2</v>
      </c>
      <c r="P58" s="52">
        <v>9.2592593000000001E-2</v>
      </c>
      <c r="Q58" s="132">
        <v>7474.6050005220004</v>
      </c>
    </row>
    <row r="59" spans="2:17" s="128" customFormat="1">
      <c r="B59" s="129">
        <v>42109</v>
      </c>
      <c r="C59" s="60">
        <v>11</v>
      </c>
      <c r="D59" s="61">
        <v>15</v>
      </c>
      <c r="E59" s="61">
        <v>14</v>
      </c>
      <c r="F59" s="61">
        <v>17</v>
      </c>
      <c r="G59" s="49">
        <v>15399</v>
      </c>
      <c r="H59" s="64">
        <v>8</v>
      </c>
      <c r="I59" s="64">
        <v>8</v>
      </c>
      <c r="J59" s="61">
        <v>26</v>
      </c>
      <c r="K59" s="61">
        <v>15</v>
      </c>
      <c r="L59" s="51">
        <v>3.25</v>
      </c>
      <c r="M59" s="52">
        <v>0.61538461499999997</v>
      </c>
      <c r="N59" s="51">
        <v>3.8330769230000001</v>
      </c>
      <c r="O59" s="52">
        <v>0</v>
      </c>
      <c r="P59" s="52">
        <v>0</v>
      </c>
      <c r="Q59" s="132">
        <v>2840.3099999430001</v>
      </c>
    </row>
    <row r="60" spans="2:17" s="128" customFormat="1">
      <c r="B60" s="129">
        <v>42078</v>
      </c>
      <c r="C60" s="60">
        <v>14</v>
      </c>
      <c r="D60" s="61">
        <v>13</v>
      </c>
      <c r="E60" s="61">
        <v>20</v>
      </c>
      <c r="F60" s="61">
        <v>14</v>
      </c>
      <c r="G60" s="49">
        <v>52504</v>
      </c>
      <c r="H60" s="64">
        <v>8</v>
      </c>
      <c r="I60" s="64">
        <v>8</v>
      </c>
      <c r="J60" s="61">
        <v>16</v>
      </c>
      <c r="K60" s="61">
        <v>14</v>
      </c>
      <c r="L60" s="51">
        <v>2</v>
      </c>
      <c r="M60" s="52">
        <v>0.14035087700000001</v>
      </c>
      <c r="N60" s="51">
        <v>3.9068749999999999</v>
      </c>
      <c r="O60" s="52">
        <v>5.5555555999999999E-2</v>
      </c>
      <c r="P60" s="52">
        <v>5.5555555999999999E-2</v>
      </c>
      <c r="Q60" s="132">
        <v>1437.73</v>
      </c>
    </row>
    <row r="61" spans="2:17" s="128" customFormat="1">
      <c r="B61" s="129">
        <v>42050</v>
      </c>
      <c r="C61" s="60">
        <v>8</v>
      </c>
      <c r="D61" s="61">
        <v>3</v>
      </c>
      <c r="E61" s="61">
        <v>12</v>
      </c>
      <c r="F61" s="61">
        <v>4</v>
      </c>
      <c r="G61" s="49">
        <v>11234</v>
      </c>
      <c r="H61" s="64">
        <v>2</v>
      </c>
      <c r="I61" s="64">
        <v>2</v>
      </c>
      <c r="J61" s="61">
        <v>5</v>
      </c>
      <c r="K61" s="100">
        <v>3</v>
      </c>
      <c r="L61" s="54">
        <v>2.5</v>
      </c>
      <c r="M61" s="52">
        <v>0.18181818199999999</v>
      </c>
      <c r="N61" s="54">
        <v>3.9060000000000001</v>
      </c>
      <c r="O61" s="52">
        <v>0</v>
      </c>
      <c r="P61" s="52">
        <v>0</v>
      </c>
      <c r="Q61" s="132">
        <v>117.18</v>
      </c>
    </row>
    <row r="62" spans="2:17" s="128" customFormat="1" ht="16.5" customHeight="1" thickBot="1">
      <c r="B62" s="129">
        <v>42019</v>
      </c>
      <c r="C62" s="60">
        <v>13</v>
      </c>
      <c r="D62" s="61">
        <v>11</v>
      </c>
      <c r="E62" s="61">
        <v>18</v>
      </c>
      <c r="F62" s="61">
        <v>13</v>
      </c>
      <c r="G62" s="49">
        <v>20687</v>
      </c>
      <c r="H62" s="66">
        <v>11</v>
      </c>
      <c r="I62" s="66">
        <v>11</v>
      </c>
      <c r="J62" s="67">
        <v>22</v>
      </c>
      <c r="K62" s="67">
        <v>12</v>
      </c>
      <c r="L62" s="55">
        <v>2</v>
      </c>
      <c r="M62" s="52">
        <v>0.52380952400000003</v>
      </c>
      <c r="N62" s="55">
        <v>3.0613636359999998</v>
      </c>
      <c r="O62" s="52">
        <v>0.1</v>
      </c>
      <c r="P62" s="52">
        <v>0.1</v>
      </c>
      <c r="Q62" s="132">
        <v>1885.7999997759998</v>
      </c>
    </row>
    <row r="63" spans="2:17" s="128" customFormat="1">
      <c r="B63" s="56" t="s">
        <v>87</v>
      </c>
      <c r="C63" s="57"/>
      <c r="D63" s="58"/>
      <c r="E63" s="58"/>
      <c r="F63" s="58"/>
      <c r="G63" s="59"/>
      <c r="H63" s="58"/>
      <c r="I63" s="58"/>
      <c r="J63" s="58"/>
      <c r="K63" s="58"/>
      <c r="L63" s="58"/>
      <c r="M63" s="58"/>
      <c r="N63" s="58"/>
      <c r="O63" s="58"/>
      <c r="P63" s="58"/>
      <c r="Q63" s="59"/>
    </row>
    <row r="64" spans="2:17" s="128" customFormat="1">
      <c r="B64" s="129">
        <v>42292</v>
      </c>
      <c r="C64" s="60"/>
      <c r="D64" s="61">
        <v>8</v>
      </c>
      <c r="E64" s="61"/>
      <c r="F64" s="61">
        <v>110</v>
      </c>
      <c r="G64" s="49">
        <v>9328</v>
      </c>
      <c r="H64" s="64">
        <v>66</v>
      </c>
      <c r="I64" s="64">
        <v>41</v>
      </c>
      <c r="J64" s="61">
        <v>168</v>
      </c>
      <c r="K64" s="61">
        <v>37</v>
      </c>
      <c r="L64" s="51">
        <v>2.5454545450000001</v>
      </c>
      <c r="M64" s="52">
        <v>0.26829268299999998</v>
      </c>
      <c r="N64" s="51">
        <v>9.3095237999999997E-2</v>
      </c>
      <c r="O64" s="52">
        <v>1.4778325E-2</v>
      </c>
      <c r="P64" s="52">
        <v>0.157635468</v>
      </c>
      <c r="Q64" s="132">
        <v>2439.8399975039997</v>
      </c>
    </row>
    <row r="65" spans="2:17" s="128" customFormat="1">
      <c r="B65" s="129">
        <v>42262</v>
      </c>
      <c r="C65" s="60">
        <v>6</v>
      </c>
      <c r="D65" s="61">
        <v>11</v>
      </c>
      <c r="E65" s="61">
        <v>6</v>
      </c>
      <c r="F65" s="61">
        <v>108</v>
      </c>
      <c r="G65" s="49">
        <v>3024</v>
      </c>
      <c r="H65" s="64">
        <v>53</v>
      </c>
      <c r="I65" s="64">
        <v>31</v>
      </c>
      <c r="J65" s="61">
        <v>133</v>
      </c>
      <c r="K65" s="61">
        <v>32</v>
      </c>
      <c r="L65" s="51">
        <v>2.5094339620000001</v>
      </c>
      <c r="M65" s="52">
        <v>0.68831168799999998</v>
      </c>
      <c r="N65" s="51">
        <v>9.7067668999999995E-2</v>
      </c>
      <c r="O65" s="52">
        <v>0</v>
      </c>
      <c r="P65" s="52">
        <v>0</v>
      </c>
      <c r="Q65" s="132">
        <v>1607.2949971365001</v>
      </c>
    </row>
    <row r="66" spans="2:17" s="128" customFormat="1">
      <c r="B66" s="129">
        <v>42231</v>
      </c>
      <c r="C66" s="60"/>
      <c r="D66" s="61"/>
      <c r="E66" s="61"/>
      <c r="F66" s="61"/>
      <c r="G66" s="49"/>
      <c r="H66" s="64"/>
      <c r="I66" s="64"/>
      <c r="J66" s="61"/>
      <c r="K66" s="61"/>
      <c r="L66" s="51"/>
      <c r="M66" s="52">
        <v>0</v>
      </c>
      <c r="N66" s="51">
        <v>0</v>
      </c>
      <c r="O66" s="52">
        <v>0</v>
      </c>
      <c r="P66" s="52">
        <v>0</v>
      </c>
      <c r="Q66" s="132">
        <v>0</v>
      </c>
    </row>
    <row r="67" spans="2:17" s="128" customFormat="1">
      <c r="B67" s="129">
        <v>42200</v>
      </c>
      <c r="C67" s="60"/>
      <c r="D67" s="61"/>
      <c r="E67" s="61"/>
      <c r="F67" s="61"/>
      <c r="G67" s="49"/>
      <c r="H67" s="64"/>
      <c r="I67" s="64"/>
      <c r="J67" s="61"/>
      <c r="K67" s="61"/>
      <c r="L67" s="51"/>
      <c r="M67" s="52">
        <v>0</v>
      </c>
      <c r="N67" s="51">
        <v>0</v>
      </c>
      <c r="O67" s="52">
        <v>0</v>
      </c>
      <c r="P67" s="52">
        <v>0</v>
      </c>
      <c r="Q67" s="132">
        <v>0</v>
      </c>
    </row>
    <row r="68" spans="2:17" s="128" customFormat="1">
      <c r="B68" s="129">
        <v>42170</v>
      </c>
      <c r="C68" s="60"/>
      <c r="D68" s="61"/>
      <c r="E68" s="61"/>
      <c r="F68" s="61"/>
      <c r="G68" s="49"/>
      <c r="H68" s="64"/>
      <c r="I68" s="64"/>
      <c r="J68" s="61"/>
      <c r="K68" s="61"/>
      <c r="L68" s="51"/>
      <c r="M68" s="52">
        <v>0</v>
      </c>
      <c r="N68" s="51">
        <v>0</v>
      </c>
      <c r="O68" s="52">
        <v>0</v>
      </c>
      <c r="P68" s="52">
        <v>0</v>
      </c>
      <c r="Q68" s="132">
        <v>0</v>
      </c>
    </row>
    <row r="69" spans="2:17" s="128" customFormat="1">
      <c r="B69" s="129">
        <v>42139</v>
      </c>
      <c r="C69" s="60"/>
      <c r="D69" s="61"/>
      <c r="E69" s="61"/>
      <c r="F69" s="61"/>
      <c r="G69" s="49"/>
      <c r="H69" s="64"/>
      <c r="I69" s="64"/>
      <c r="J69" s="61"/>
      <c r="K69" s="61"/>
      <c r="L69" s="51"/>
      <c r="M69" s="52">
        <v>0</v>
      </c>
      <c r="N69" s="51">
        <v>0</v>
      </c>
      <c r="O69" s="52">
        <v>0</v>
      </c>
      <c r="P69" s="52">
        <v>0</v>
      </c>
      <c r="Q69" s="132">
        <v>0</v>
      </c>
    </row>
    <row r="70" spans="2:17" s="128" customFormat="1">
      <c r="B70" s="129">
        <v>42109</v>
      </c>
      <c r="C70" s="60"/>
      <c r="D70" s="61"/>
      <c r="E70" s="61"/>
      <c r="F70" s="61"/>
      <c r="G70" s="49"/>
      <c r="H70" s="64"/>
      <c r="I70" s="64"/>
      <c r="J70" s="61"/>
      <c r="K70" s="61"/>
      <c r="L70" s="51"/>
      <c r="M70" s="52">
        <v>0</v>
      </c>
      <c r="N70" s="51">
        <v>0</v>
      </c>
      <c r="O70" s="52">
        <v>0</v>
      </c>
      <c r="P70" s="52">
        <v>0</v>
      </c>
      <c r="Q70" s="132">
        <v>0</v>
      </c>
    </row>
    <row r="71" spans="2:17" s="128" customFormat="1">
      <c r="B71" s="129">
        <v>42078</v>
      </c>
      <c r="C71" s="60"/>
      <c r="D71" s="61"/>
      <c r="E71" s="61"/>
      <c r="F71" s="61"/>
      <c r="G71" s="49"/>
      <c r="H71" s="64"/>
      <c r="I71" s="64"/>
      <c r="J71" s="61"/>
      <c r="K71" s="61"/>
      <c r="L71" s="51"/>
      <c r="M71" s="52">
        <v>0</v>
      </c>
      <c r="N71" s="51">
        <v>0</v>
      </c>
      <c r="O71" s="52">
        <v>0</v>
      </c>
      <c r="P71" s="52">
        <v>0</v>
      </c>
      <c r="Q71" s="132">
        <v>0</v>
      </c>
    </row>
    <row r="72" spans="2:17" s="128" customFormat="1" ht="16.5" customHeight="1">
      <c r="B72" s="129">
        <v>42050</v>
      </c>
      <c r="C72" s="60"/>
      <c r="D72" s="61"/>
      <c r="E72" s="61"/>
      <c r="F72" s="61"/>
      <c r="G72" s="49"/>
      <c r="H72" s="64"/>
      <c r="I72" s="64"/>
      <c r="J72" s="61"/>
      <c r="K72" s="100"/>
      <c r="L72" s="54"/>
      <c r="M72" s="52">
        <v>0</v>
      </c>
      <c r="N72" s="54">
        <v>0</v>
      </c>
      <c r="O72" s="52">
        <v>0</v>
      </c>
      <c r="P72" s="52">
        <v>0</v>
      </c>
      <c r="Q72" s="132">
        <v>0</v>
      </c>
    </row>
    <row r="73" spans="2:17" s="128" customFormat="1" ht="15.75" thickBot="1">
      <c r="B73" s="129">
        <v>42019</v>
      </c>
      <c r="C73" s="60">
        <v>1</v>
      </c>
      <c r="D73" s="61"/>
      <c r="E73" s="61">
        <v>2</v>
      </c>
      <c r="F73" s="61"/>
      <c r="G73" s="49">
        <v>0</v>
      </c>
      <c r="H73" s="64"/>
      <c r="I73" s="64"/>
      <c r="J73" s="61"/>
      <c r="K73" s="100"/>
      <c r="L73" s="55"/>
      <c r="M73" s="52">
        <v>0</v>
      </c>
      <c r="N73" s="55">
        <v>0</v>
      </c>
      <c r="O73" s="52">
        <v>0</v>
      </c>
      <c r="P73" s="52">
        <v>0</v>
      </c>
      <c r="Q73" s="132">
        <v>0</v>
      </c>
    </row>
    <row r="74" spans="2:17" s="128" customFormat="1">
      <c r="B74" s="56" t="s">
        <v>85</v>
      </c>
      <c r="C74" s="57"/>
      <c r="D74" s="58"/>
      <c r="E74" s="58"/>
      <c r="F74" s="58"/>
      <c r="G74" s="59"/>
      <c r="H74" s="58"/>
      <c r="I74" s="58"/>
      <c r="J74" s="58"/>
      <c r="K74" s="58"/>
      <c r="L74" s="58"/>
      <c r="M74" s="58"/>
      <c r="N74" s="58"/>
      <c r="O74" s="58"/>
      <c r="P74" s="58"/>
      <c r="Q74" s="59"/>
    </row>
    <row r="75" spans="2:17" s="128" customFormat="1">
      <c r="B75" s="129">
        <v>42292</v>
      </c>
      <c r="C75" s="60">
        <v>19</v>
      </c>
      <c r="D75" s="61">
        <v>13</v>
      </c>
      <c r="E75" s="61">
        <v>40</v>
      </c>
      <c r="F75" s="61">
        <v>68</v>
      </c>
      <c r="G75" s="49">
        <v>118754</v>
      </c>
      <c r="H75" s="64">
        <v>44</v>
      </c>
      <c r="I75" s="64">
        <v>16</v>
      </c>
      <c r="J75" s="61">
        <v>131</v>
      </c>
      <c r="K75" s="61">
        <v>17</v>
      </c>
      <c r="L75" s="51">
        <v>2.9772727269999999</v>
      </c>
      <c r="M75" s="52">
        <v>2.3342175E-2</v>
      </c>
      <c r="N75" s="51">
        <v>0.10053435099999999</v>
      </c>
      <c r="O75" s="52">
        <v>4.0540540999999999E-2</v>
      </c>
      <c r="P75" s="52">
        <v>7.4324323999999997E-2</v>
      </c>
      <c r="Q75" s="132">
        <v>1369.6799980239998</v>
      </c>
    </row>
    <row r="76" spans="2:17" s="128" customFormat="1">
      <c r="B76" s="129">
        <v>42262</v>
      </c>
      <c r="C76" s="60">
        <v>7</v>
      </c>
      <c r="D76" s="61"/>
      <c r="E76" s="61">
        <v>14</v>
      </c>
      <c r="F76" s="61"/>
      <c r="G76" s="49">
        <v>41623</v>
      </c>
      <c r="H76" s="64">
        <v>3</v>
      </c>
      <c r="I76" s="64">
        <v>3</v>
      </c>
      <c r="J76" s="61">
        <v>3</v>
      </c>
      <c r="K76" s="61">
        <v>3</v>
      </c>
      <c r="L76" s="51">
        <v>1</v>
      </c>
      <c r="M76" s="52">
        <v>3.7546929999999999E-3</v>
      </c>
      <c r="N76" s="51">
        <v>2.3333333000000001E-2</v>
      </c>
      <c r="O76" s="52">
        <v>0</v>
      </c>
      <c r="P76" s="52">
        <v>0</v>
      </c>
      <c r="Q76" s="132">
        <v>0.41999999400000004</v>
      </c>
    </row>
    <row r="77" spans="2:17" s="128" customFormat="1">
      <c r="B77" s="129">
        <v>42231</v>
      </c>
      <c r="C77" s="60">
        <v>13</v>
      </c>
      <c r="D77" s="61">
        <v>14</v>
      </c>
      <c r="E77" s="61">
        <v>26</v>
      </c>
      <c r="F77" s="61">
        <v>106</v>
      </c>
      <c r="G77" s="49">
        <v>31930</v>
      </c>
      <c r="H77" s="64">
        <v>100</v>
      </c>
      <c r="I77" s="64">
        <v>25</v>
      </c>
      <c r="J77" s="61">
        <v>182</v>
      </c>
      <c r="K77" s="61">
        <v>25</v>
      </c>
      <c r="L77" s="51">
        <v>1.82</v>
      </c>
      <c r="M77" s="52">
        <v>0.125156446</v>
      </c>
      <c r="N77" s="51">
        <v>0.11043956000000001</v>
      </c>
      <c r="O77" s="52">
        <v>0</v>
      </c>
      <c r="P77" s="52">
        <v>2.1505376E-2</v>
      </c>
      <c r="Q77" s="132">
        <v>3336.5999867200003</v>
      </c>
    </row>
    <row r="78" spans="2:17" s="128" customFormat="1">
      <c r="B78" s="129">
        <v>42200</v>
      </c>
      <c r="C78" s="60">
        <v>10</v>
      </c>
      <c r="D78" s="61">
        <v>8</v>
      </c>
      <c r="E78" s="61">
        <v>26</v>
      </c>
      <c r="F78" s="61">
        <v>119</v>
      </c>
      <c r="G78" s="49">
        <v>37963</v>
      </c>
      <c r="H78" s="64">
        <v>102</v>
      </c>
      <c r="I78" s="64">
        <v>10</v>
      </c>
      <c r="J78" s="61">
        <v>109</v>
      </c>
      <c r="K78" s="61">
        <v>11</v>
      </c>
      <c r="L78" s="51">
        <v>1.068627451</v>
      </c>
      <c r="M78" s="52">
        <v>9.3321134E-2</v>
      </c>
      <c r="N78" s="51">
        <v>0.22183486199999999</v>
      </c>
      <c r="O78" s="52">
        <v>0</v>
      </c>
      <c r="P78" s="52">
        <v>0</v>
      </c>
      <c r="Q78" s="132">
        <v>2804.8799951279998</v>
      </c>
    </row>
    <row r="79" spans="2:17" s="128" customFormat="1">
      <c r="B79" s="129">
        <v>42170</v>
      </c>
      <c r="C79" s="60">
        <v>18</v>
      </c>
      <c r="D79" s="61">
        <v>3</v>
      </c>
      <c r="E79" s="61">
        <v>30</v>
      </c>
      <c r="F79" s="61">
        <v>74</v>
      </c>
      <c r="G79" s="49">
        <v>101787</v>
      </c>
      <c r="H79" s="64">
        <v>142</v>
      </c>
      <c r="I79" s="64">
        <v>11</v>
      </c>
      <c r="J79" s="61">
        <v>148</v>
      </c>
      <c r="K79" s="61">
        <v>12</v>
      </c>
      <c r="L79" s="51">
        <v>1.0422535209999999</v>
      </c>
      <c r="M79" s="52">
        <v>4.9186005999999997E-2</v>
      </c>
      <c r="N79" s="51">
        <v>7.5202702999999996E-2</v>
      </c>
      <c r="O79" s="52">
        <v>0</v>
      </c>
      <c r="P79" s="52">
        <v>0</v>
      </c>
      <c r="Q79" s="132">
        <v>1741.845006886</v>
      </c>
    </row>
    <row r="80" spans="2:17" s="128" customFormat="1">
      <c r="B80" s="129">
        <v>42139</v>
      </c>
      <c r="C80" s="60">
        <v>66</v>
      </c>
      <c r="D80" s="61">
        <v>19</v>
      </c>
      <c r="E80" s="61">
        <v>102</v>
      </c>
      <c r="F80" s="61">
        <v>162</v>
      </c>
      <c r="G80" s="49">
        <v>150281</v>
      </c>
      <c r="H80" s="64">
        <v>562</v>
      </c>
      <c r="I80" s="64">
        <v>25</v>
      </c>
      <c r="J80" s="61">
        <v>729</v>
      </c>
      <c r="K80" s="61">
        <v>31</v>
      </c>
      <c r="L80" s="51">
        <v>1.2971530250000001</v>
      </c>
      <c r="M80" s="52">
        <v>0.14563358400000001</v>
      </c>
      <c r="N80" s="51">
        <v>0.14573388200000001</v>
      </c>
      <c r="O80" s="52">
        <v>0</v>
      </c>
      <c r="P80" s="52">
        <v>0</v>
      </c>
      <c r="Q80" s="132">
        <v>71552.639985183007</v>
      </c>
    </row>
    <row r="81" spans="2:17" s="128" customFormat="1">
      <c r="B81" s="129">
        <v>42109</v>
      </c>
      <c r="C81" s="60">
        <v>59</v>
      </c>
      <c r="D81" s="61">
        <v>58</v>
      </c>
      <c r="E81" s="61">
        <v>106</v>
      </c>
      <c r="F81" s="61">
        <v>1165</v>
      </c>
      <c r="G81" s="49">
        <v>90191</v>
      </c>
      <c r="H81" s="64">
        <v>395</v>
      </c>
      <c r="I81" s="64">
        <v>81</v>
      </c>
      <c r="J81" s="61">
        <v>648</v>
      </c>
      <c r="K81" s="61">
        <v>77</v>
      </c>
      <c r="L81" s="51">
        <v>1.6405063289999999</v>
      </c>
      <c r="M81" s="52">
        <v>0.18086080600000001</v>
      </c>
      <c r="N81" s="51">
        <v>0.122376543</v>
      </c>
      <c r="O81" s="52">
        <v>0</v>
      </c>
      <c r="P81" s="52">
        <v>0</v>
      </c>
      <c r="Q81" s="132">
        <v>47619.649918331997</v>
      </c>
    </row>
    <row r="82" spans="2:17" s="128" customFormat="1">
      <c r="B82" s="129">
        <v>42078</v>
      </c>
      <c r="C82" s="60">
        <v>26</v>
      </c>
      <c r="D82" s="61">
        <v>4</v>
      </c>
      <c r="E82" s="61">
        <v>45</v>
      </c>
      <c r="F82" s="61">
        <v>36</v>
      </c>
      <c r="G82" s="49">
        <v>94760</v>
      </c>
      <c r="H82" s="64">
        <v>33</v>
      </c>
      <c r="I82" s="64">
        <v>3</v>
      </c>
      <c r="J82" s="61">
        <v>42</v>
      </c>
      <c r="K82" s="61">
        <v>4</v>
      </c>
      <c r="L82" s="51">
        <v>1.2727272730000001</v>
      </c>
      <c r="M82" s="52">
        <v>2.5943396000000001E-2</v>
      </c>
      <c r="N82" s="51">
        <v>7.7857143000000004E-2</v>
      </c>
      <c r="O82" s="52">
        <v>0.109090909</v>
      </c>
      <c r="P82" s="52">
        <v>0.127272727</v>
      </c>
      <c r="Q82" s="132">
        <v>134.07000024600001</v>
      </c>
    </row>
    <row r="83" spans="2:17" s="128" customFormat="1">
      <c r="B83" s="129">
        <v>42050</v>
      </c>
      <c r="C83" s="60">
        <v>10</v>
      </c>
      <c r="D83" s="61">
        <v>4</v>
      </c>
      <c r="E83" s="61">
        <v>15</v>
      </c>
      <c r="F83" s="61">
        <v>39</v>
      </c>
      <c r="G83" s="49">
        <v>145876</v>
      </c>
      <c r="H83" s="64">
        <v>46</v>
      </c>
      <c r="I83" s="64">
        <v>4</v>
      </c>
      <c r="J83" s="61">
        <v>125</v>
      </c>
      <c r="K83" s="100">
        <v>5</v>
      </c>
      <c r="L83" s="54">
        <v>2.717391304</v>
      </c>
      <c r="M83" s="52">
        <v>2.5755878999999999E-2</v>
      </c>
      <c r="N83" s="54">
        <v>8.1600000000000006E-2</v>
      </c>
      <c r="O83" s="52">
        <v>0</v>
      </c>
      <c r="P83" s="52">
        <v>5.3030303000000001E-2</v>
      </c>
      <c r="Q83" s="132">
        <v>918.00000000000011</v>
      </c>
    </row>
    <row r="84" spans="2:17" s="128" customFormat="1" ht="15.75" thickBot="1">
      <c r="B84" s="129">
        <v>42019</v>
      </c>
      <c r="C84" s="60">
        <v>31</v>
      </c>
      <c r="D84" s="61">
        <v>13</v>
      </c>
      <c r="E84" s="61">
        <v>111</v>
      </c>
      <c r="F84" s="61">
        <v>77</v>
      </c>
      <c r="G84" s="49">
        <v>127058</v>
      </c>
      <c r="H84" s="64">
        <v>57</v>
      </c>
      <c r="I84" s="64">
        <v>23</v>
      </c>
      <c r="J84" s="61">
        <v>201</v>
      </c>
      <c r="K84" s="100">
        <v>25</v>
      </c>
      <c r="L84" s="55">
        <v>3.5263157889999999</v>
      </c>
      <c r="M84" s="52">
        <v>3.2534247000000002E-2</v>
      </c>
      <c r="N84" s="55">
        <v>9.0696517000000004E-2</v>
      </c>
      <c r="O84" s="52">
        <v>2.8846153999999999E-2</v>
      </c>
      <c r="P84" s="52">
        <v>4.8076919999999997E-3</v>
      </c>
      <c r="Q84" s="132">
        <v>2789.1899873010002</v>
      </c>
    </row>
    <row r="85" spans="2:17" s="128" customFormat="1">
      <c r="B85" s="56" t="s">
        <v>78</v>
      </c>
      <c r="C85" s="57"/>
      <c r="D85" s="58"/>
      <c r="E85" s="58"/>
      <c r="F85" s="58"/>
      <c r="G85" s="59"/>
      <c r="H85" s="58"/>
      <c r="I85" s="58"/>
      <c r="J85" s="58"/>
      <c r="K85" s="58"/>
      <c r="L85" s="58"/>
      <c r="M85" s="58"/>
      <c r="N85" s="58"/>
      <c r="O85" s="58"/>
      <c r="P85" s="58"/>
      <c r="Q85" s="59"/>
    </row>
    <row r="86" spans="2:17" s="128" customFormat="1">
      <c r="B86" s="129">
        <v>42292</v>
      </c>
      <c r="C86" s="60">
        <v>19</v>
      </c>
      <c r="D86" s="61">
        <v>15</v>
      </c>
      <c r="E86" s="61">
        <v>26</v>
      </c>
      <c r="F86" s="61">
        <v>63</v>
      </c>
      <c r="G86" s="72">
        <v>32370</v>
      </c>
      <c r="H86" s="64">
        <v>40</v>
      </c>
      <c r="I86" s="64">
        <v>10</v>
      </c>
      <c r="J86" s="61">
        <v>86</v>
      </c>
      <c r="K86" s="61">
        <v>14</v>
      </c>
      <c r="L86" s="51">
        <v>2.15</v>
      </c>
      <c r="M86" s="52">
        <v>9.9255582999999994E-2</v>
      </c>
      <c r="N86" s="51">
        <v>0.147906977</v>
      </c>
      <c r="O86" s="52">
        <v>0</v>
      </c>
      <c r="P86" s="52">
        <v>0</v>
      </c>
      <c r="Q86" s="132">
        <v>954.00000164999994</v>
      </c>
    </row>
    <row r="87" spans="2:17" s="128" customFormat="1">
      <c r="B87" s="129">
        <v>42262</v>
      </c>
      <c r="C87" s="60">
        <v>15</v>
      </c>
      <c r="D87" s="61">
        <v>2</v>
      </c>
      <c r="E87" s="61">
        <v>24</v>
      </c>
      <c r="F87" s="61">
        <v>2</v>
      </c>
      <c r="G87" s="72">
        <v>22225</v>
      </c>
      <c r="H87" s="64">
        <v>2</v>
      </c>
      <c r="I87" s="64">
        <v>2</v>
      </c>
      <c r="J87" s="61">
        <v>5</v>
      </c>
      <c r="K87" s="61">
        <v>3</v>
      </c>
      <c r="L87" s="51">
        <v>2.5</v>
      </c>
      <c r="M87" s="52">
        <v>9.0090090000000001E-3</v>
      </c>
      <c r="N87" s="51">
        <v>0.20200000000000001</v>
      </c>
      <c r="O87" s="52">
        <v>0</v>
      </c>
      <c r="P87" s="52">
        <v>0</v>
      </c>
      <c r="Q87" s="132">
        <v>6.0600000000000005</v>
      </c>
    </row>
    <row r="88" spans="2:17" s="128" customFormat="1">
      <c r="B88" s="129">
        <v>42231</v>
      </c>
      <c r="C88" s="60">
        <v>16</v>
      </c>
      <c r="D88" s="61">
        <v>9</v>
      </c>
      <c r="E88" s="61">
        <v>22</v>
      </c>
      <c r="F88" s="61">
        <v>21</v>
      </c>
      <c r="G88" s="72">
        <v>26139</v>
      </c>
      <c r="H88" s="64">
        <v>89</v>
      </c>
      <c r="I88" s="64">
        <v>8</v>
      </c>
      <c r="J88" s="61">
        <v>118</v>
      </c>
      <c r="K88" s="61">
        <v>9</v>
      </c>
      <c r="L88" s="51">
        <v>1.3258426969999999</v>
      </c>
      <c r="M88" s="52">
        <v>0.14858096800000001</v>
      </c>
      <c r="N88" s="51">
        <v>0.20516949200000001</v>
      </c>
      <c r="O88" s="52">
        <v>3.125E-2</v>
      </c>
      <c r="P88" s="52">
        <v>4.6875E-2</v>
      </c>
      <c r="Q88" s="132">
        <v>2711.520006272</v>
      </c>
    </row>
    <row r="89" spans="2:17" s="128" customFormat="1">
      <c r="B89" s="129">
        <v>42200</v>
      </c>
      <c r="C89" s="60">
        <v>30</v>
      </c>
      <c r="D89" s="61">
        <v>24</v>
      </c>
      <c r="E89" s="61">
        <v>40</v>
      </c>
      <c r="F89" s="61">
        <v>365</v>
      </c>
      <c r="G89" s="72">
        <v>38530</v>
      </c>
      <c r="H89" s="64">
        <v>274</v>
      </c>
      <c r="I89" s="64">
        <v>26</v>
      </c>
      <c r="J89" s="61">
        <v>297</v>
      </c>
      <c r="K89" s="61">
        <v>25</v>
      </c>
      <c r="L89" s="51">
        <v>1.083941606</v>
      </c>
      <c r="M89" s="52">
        <v>0.24247787600000001</v>
      </c>
      <c r="N89" s="51">
        <v>0.20447811399999999</v>
      </c>
      <c r="O89" s="52">
        <v>0</v>
      </c>
      <c r="P89" s="52">
        <v>0</v>
      </c>
      <c r="Q89" s="132">
        <v>18887.029955837999</v>
      </c>
    </row>
    <row r="90" spans="2:17" s="128" customFormat="1">
      <c r="B90" s="129">
        <v>42170</v>
      </c>
      <c r="C90" s="60">
        <v>13</v>
      </c>
      <c r="D90" s="61">
        <v>2</v>
      </c>
      <c r="E90" s="61">
        <v>16</v>
      </c>
      <c r="F90" s="61">
        <v>17</v>
      </c>
      <c r="G90" s="72">
        <v>64579</v>
      </c>
      <c r="H90" s="64">
        <v>29</v>
      </c>
      <c r="I90" s="64">
        <v>3</v>
      </c>
      <c r="J90" s="61">
        <v>29</v>
      </c>
      <c r="K90" s="61">
        <v>3</v>
      </c>
      <c r="L90" s="51">
        <v>1</v>
      </c>
      <c r="M90" s="52">
        <v>2.0908435E-2</v>
      </c>
      <c r="N90" s="51">
        <v>0.22206896600000001</v>
      </c>
      <c r="O90" s="52">
        <v>0</v>
      </c>
      <c r="P90" s="52">
        <v>0</v>
      </c>
      <c r="Q90" s="132">
        <v>206.08000044799999</v>
      </c>
    </row>
    <row r="91" spans="2:17" s="128" customFormat="1">
      <c r="B91" s="129">
        <v>42139</v>
      </c>
      <c r="C91" s="60">
        <v>35</v>
      </c>
      <c r="D91" s="61">
        <v>13</v>
      </c>
      <c r="E91" s="61">
        <v>45</v>
      </c>
      <c r="F91" s="61">
        <v>19</v>
      </c>
      <c r="G91" s="72">
        <v>78911</v>
      </c>
      <c r="H91" s="64">
        <v>186</v>
      </c>
      <c r="I91" s="64">
        <v>14</v>
      </c>
      <c r="J91" s="61">
        <v>236</v>
      </c>
      <c r="K91" s="61">
        <v>14</v>
      </c>
      <c r="L91" s="51">
        <v>1.2688172040000001</v>
      </c>
      <c r="M91" s="52">
        <v>0.115456238</v>
      </c>
      <c r="N91" s="51">
        <v>0.202161017</v>
      </c>
      <c r="O91" s="52">
        <v>0</v>
      </c>
      <c r="P91" s="52">
        <v>8.4033609999999998E-3</v>
      </c>
      <c r="Q91" s="132">
        <v>10734.750002700001</v>
      </c>
    </row>
    <row r="92" spans="2:17" s="128" customFormat="1">
      <c r="B92" s="129">
        <v>42109</v>
      </c>
      <c r="C92" s="60">
        <v>39</v>
      </c>
      <c r="D92" s="61">
        <v>35</v>
      </c>
      <c r="E92" s="61">
        <v>48</v>
      </c>
      <c r="F92" s="61">
        <v>415</v>
      </c>
      <c r="G92" s="72">
        <v>46503</v>
      </c>
      <c r="H92" s="64">
        <v>137</v>
      </c>
      <c r="I92" s="64">
        <v>32</v>
      </c>
      <c r="J92" s="61">
        <v>193</v>
      </c>
      <c r="K92" s="61">
        <v>39</v>
      </c>
      <c r="L92" s="51">
        <v>1.4087591239999999</v>
      </c>
      <c r="M92" s="52">
        <v>0.175416133</v>
      </c>
      <c r="N92" s="51">
        <v>0.18917098399999999</v>
      </c>
      <c r="O92" s="52">
        <v>0</v>
      </c>
      <c r="P92" s="52">
        <v>0</v>
      </c>
      <c r="Q92" s="132">
        <v>7320.2549823559993</v>
      </c>
    </row>
    <row r="93" spans="2:17" s="128" customFormat="1">
      <c r="B93" s="129">
        <v>42078</v>
      </c>
      <c r="C93" s="60">
        <v>24</v>
      </c>
      <c r="D93" s="61">
        <v>7</v>
      </c>
      <c r="E93" s="61">
        <v>32</v>
      </c>
      <c r="F93" s="61">
        <v>29</v>
      </c>
      <c r="G93" s="72">
        <v>40413</v>
      </c>
      <c r="H93" s="64">
        <v>25</v>
      </c>
      <c r="I93" s="64">
        <v>5</v>
      </c>
      <c r="J93" s="61">
        <v>25</v>
      </c>
      <c r="K93" s="61">
        <v>5</v>
      </c>
      <c r="L93" s="51">
        <v>1</v>
      </c>
      <c r="M93" s="52">
        <v>4.7258979E-2</v>
      </c>
      <c r="N93" s="51">
        <v>0.2104</v>
      </c>
      <c r="O93" s="52">
        <v>6.8965517000000004E-2</v>
      </c>
      <c r="P93" s="52">
        <v>6.8965517000000004E-2</v>
      </c>
      <c r="Q93" s="132">
        <v>157.79999999999998</v>
      </c>
    </row>
    <row r="94" spans="2:17" s="128" customFormat="1">
      <c r="B94" s="129">
        <v>42050</v>
      </c>
      <c r="C94" s="60">
        <v>9</v>
      </c>
      <c r="D94" s="61"/>
      <c r="E94" s="61">
        <v>10</v>
      </c>
      <c r="F94" s="61"/>
      <c r="G94" s="72">
        <v>45620</v>
      </c>
      <c r="H94" s="64"/>
      <c r="I94" s="64"/>
      <c r="J94" s="61"/>
      <c r="K94" s="61"/>
      <c r="L94" s="51"/>
      <c r="M94" s="52">
        <v>0</v>
      </c>
      <c r="N94" s="51">
        <v>0</v>
      </c>
      <c r="O94" s="52">
        <v>0</v>
      </c>
      <c r="P94" s="52">
        <v>0</v>
      </c>
      <c r="Q94" s="132">
        <v>0</v>
      </c>
    </row>
    <row r="95" spans="2:17" s="128" customFormat="1" ht="15.75" thickBot="1">
      <c r="B95" s="129">
        <v>42019</v>
      </c>
      <c r="C95" s="60">
        <v>25</v>
      </c>
      <c r="D95" s="61">
        <v>8</v>
      </c>
      <c r="E95" s="61">
        <v>36</v>
      </c>
      <c r="F95" s="61">
        <v>10</v>
      </c>
      <c r="G95" s="72">
        <v>58800</v>
      </c>
      <c r="H95" s="64">
        <v>10</v>
      </c>
      <c r="I95" s="64">
        <v>7</v>
      </c>
      <c r="J95" s="61">
        <v>42</v>
      </c>
      <c r="K95" s="100">
        <v>9</v>
      </c>
      <c r="L95" s="54">
        <v>4.2</v>
      </c>
      <c r="M95" s="52">
        <v>1.7301038000000001E-2</v>
      </c>
      <c r="N95" s="54">
        <v>0.22595238100000001</v>
      </c>
      <c r="O95" s="52">
        <v>0</v>
      </c>
      <c r="P95" s="52">
        <v>0</v>
      </c>
      <c r="Q95" s="132">
        <v>322.66000006799999</v>
      </c>
    </row>
    <row r="96" spans="2:17" s="128" customFormat="1">
      <c r="B96" s="56" t="s">
        <v>83</v>
      </c>
      <c r="C96" s="57"/>
      <c r="D96" s="58"/>
      <c r="E96" s="58"/>
      <c r="F96" s="58"/>
      <c r="G96" s="59"/>
      <c r="H96" s="58"/>
      <c r="I96" s="58"/>
      <c r="J96" s="58"/>
      <c r="K96" s="58"/>
      <c r="L96" s="58"/>
      <c r="M96" s="58"/>
      <c r="N96" s="58"/>
      <c r="O96" s="58"/>
      <c r="P96" s="58"/>
      <c r="Q96" s="59"/>
    </row>
    <row r="97" spans="2:17" s="128" customFormat="1">
      <c r="B97" s="129">
        <v>42292</v>
      </c>
      <c r="C97" s="60">
        <v>23</v>
      </c>
      <c r="D97" s="61">
        <v>11</v>
      </c>
      <c r="E97" s="61">
        <v>26</v>
      </c>
      <c r="F97" s="61">
        <v>50</v>
      </c>
      <c r="G97" s="49">
        <v>32330</v>
      </c>
      <c r="H97" s="64">
        <v>35</v>
      </c>
      <c r="I97" s="64">
        <v>7</v>
      </c>
      <c r="J97" s="61">
        <v>78</v>
      </c>
      <c r="K97" s="61">
        <v>10</v>
      </c>
      <c r="L97" s="51">
        <v>2.228571429</v>
      </c>
      <c r="M97" s="52">
        <v>8.7499999999999994E-2</v>
      </c>
      <c r="N97" s="54">
        <v>0.14692307700000001</v>
      </c>
      <c r="O97" s="52">
        <v>0</v>
      </c>
      <c r="P97" s="52">
        <v>0</v>
      </c>
      <c r="Q97" s="132">
        <v>744.90000039000006</v>
      </c>
    </row>
    <row r="98" spans="2:17" s="128" customFormat="1">
      <c r="B98" s="129">
        <v>42262</v>
      </c>
      <c r="C98" s="60">
        <v>13</v>
      </c>
      <c r="D98" s="61"/>
      <c r="E98" s="61">
        <v>23</v>
      </c>
      <c r="F98" s="61"/>
      <c r="G98" s="49">
        <v>22983</v>
      </c>
      <c r="H98" s="64">
        <v>1</v>
      </c>
      <c r="I98" s="64">
        <v>1</v>
      </c>
      <c r="J98" s="61">
        <v>1</v>
      </c>
      <c r="K98" s="61">
        <v>1</v>
      </c>
      <c r="L98" s="51">
        <v>1</v>
      </c>
      <c r="M98" s="52">
        <v>4.1493779999999996E-3</v>
      </c>
      <c r="N98" s="54">
        <v>0.17</v>
      </c>
      <c r="O98" s="52">
        <v>0</v>
      </c>
      <c r="P98" s="52">
        <v>0</v>
      </c>
      <c r="Q98" s="132">
        <v>0.34</v>
      </c>
    </row>
    <row r="99" spans="2:17" s="128" customFormat="1">
      <c r="B99" s="129">
        <v>42231</v>
      </c>
      <c r="C99" s="60">
        <v>17</v>
      </c>
      <c r="D99" s="61">
        <v>9</v>
      </c>
      <c r="E99" s="61">
        <v>20</v>
      </c>
      <c r="F99" s="61">
        <v>27</v>
      </c>
      <c r="G99" s="49">
        <v>24566</v>
      </c>
      <c r="H99" s="64">
        <v>93</v>
      </c>
      <c r="I99" s="64">
        <v>15</v>
      </c>
      <c r="J99" s="61">
        <v>134</v>
      </c>
      <c r="K99" s="61">
        <v>15</v>
      </c>
      <c r="L99" s="51">
        <v>1.4408602150000001</v>
      </c>
      <c r="M99" s="52">
        <v>0.15</v>
      </c>
      <c r="N99" s="54">
        <v>0.222985075</v>
      </c>
      <c r="O99" s="52">
        <v>0</v>
      </c>
      <c r="P99" s="52">
        <v>1.4705882E-2</v>
      </c>
      <c r="Q99" s="132">
        <v>3839.5800064249997</v>
      </c>
    </row>
    <row r="100" spans="2:17" s="128" customFormat="1">
      <c r="B100" s="129">
        <v>42200</v>
      </c>
      <c r="C100" s="60">
        <v>25</v>
      </c>
      <c r="D100" s="61">
        <v>25</v>
      </c>
      <c r="E100" s="61">
        <v>34</v>
      </c>
      <c r="F100" s="61">
        <v>369</v>
      </c>
      <c r="G100" s="49">
        <v>43456</v>
      </c>
      <c r="H100" s="64">
        <v>298</v>
      </c>
      <c r="I100" s="64">
        <v>28</v>
      </c>
      <c r="J100" s="61">
        <v>337</v>
      </c>
      <c r="K100" s="61">
        <v>28</v>
      </c>
      <c r="L100" s="51">
        <v>1.1308724830000001</v>
      </c>
      <c r="M100" s="52">
        <v>0.254700855</v>
      </c>
      <c r="N100" s="54">
        <v>0.219436202</v>
      </c>
      <c r="O100" s="52">
        <v>0</v>
      </c>
      <c r="P100" s="52">
        <v>0</v>
      </c>
      <c r="Q100" s="132">
        <v>25549.725025567001</v>
      </c>
    </row>
    <row r="101" spans="2:17" s="128" customFormat="1">
      <c r="B101" s="129">
        <v>42170</v>
      </c>
      <c r="C101" s="60">
        <v>14</v>
      </c>
      <c r="D101" s="61">
        <v>4</v>
      </c>
      <c r="E101" s="61">
        <v>18</v>
      </c>
      <c r="F101" s="61">
        <v>39</v>
      </c>
      <c r="G101" s="49">
        <v>63885</v>
      </c>
      <c r="H101" s="64">
        <v>33</v>
      </c>
      <c r="I101" s="64">
        <v>6</v>
      </c>
      <c r="J101" s="61">
        <v>39</v>
      </c>
      <c r="K101" s="61">
        <v>6</v>
      </c>
      <c r="L101" s="51">
        <v>1.181818182</v>
      </c>
      <c r="M101" s="52">
        <v>2.3930383999999999E-2</v>
      </c>
      <c r="N101" s="54">
        <v>0.22948717900000001</v>
      </c>
      <c r="O101" s="52">
        <v>0</v>
      </c>
      <c r="P101" s="52">
        <v>0</v>
      </c>
      <c r="Q101" s="132">
        <v>375.89999920200006</v>
      </c>
    </row>
    <row r="102" spans="2:17" s="128" customFormat="1">
      <c r="B102" s="129">
        <v>42139</v>
      </c>
      <c r="C102" s="60">
        <v>40</v>
      </c>
      <c r="D102" s="61">
        <v>3</v>
      </c>
      <c r="E102" s="61">
        <v>50</v>
      </c>
      <c r="F102" s="61">
        <v>10</v>
      </c>
      <c r="G102" s="49">
        <v>77849</v>
      </c>
      <c r="H102" s="64">
        <v>147</v>
      </c>
      <c r="I102" s="64">
        <v>7</v>
      </c>
      <c r="J102" s="61">
        <v>162</v>
      </c>
      <c r="K102" s="61">
        <v>7</v>
      </c>
      <c r="L102" s="51">
        <v>1.1020408159999999</v>
      </c>
      <c r="M102" s="52">
        <v>9.5330738999999998E-2</v>
      </c>
      <c r="N102" s="54">
        <v>0.20993827200000001</v>
      </c>
      <c r="O102" s="52">
        <v>0</v>
      </c>
      <c r="P102" s="52">
        <v>0</v>
      </c>
      <c r="Q102" s="132">
        <v>5492.6150103360005</v>
      </c>
    </row>
    <row r="103" spans="2:17" s="128" customFormat="1">
      <c r="B103" s="129">
        <v>42109</v>
      </c>
      <c r="C103" s="60">
        <v>38</v>
      </c>
      <c r="D103" s="61">
        <v>35</v>
      </c>
      <c r="E103" s="61">
        <v>47</v>
      </c>
      <c r="F103" s="61">
        <v>341</v>
      </c>
      <c r="G103" s="49">
        <v>43298</v>
      </c>
      <c r="H103" s="64">
        <v>131</v>
      </c>
      <c r="I103" s="64">
        <v>37</v>
      </c>
      <c r="J103" s="61">
        <v>188</v>
      </c>
      <c r="K103" s="61">
        <v>41</v>
      </c>
      <c r="L103" s="51">
        <v>1.435114504</v>
      </c>
      <c r="M103" s="52">
        <v>0.18450704200000001</v>
      </c>
      <c r="N103" s="54">
        <v>0.19276595699999999</v>
      </c>
      <c r="O103" s="52">
        <v>5.2631580000000004E-3</v>
      </c>
      <c r="P103" s="52">
        <v>5.2631580000000004E-3</v>
      </c>
      <c r="Q103" s="132">
        <v>7193.6399833259993</v>
      </c>
    </row>
    <row r="104" spans="2:17" s="128" customFormat="1">
      <c r="B104" s="129">
        <v>42078</v>
      </c>
      <c r="C104" s="60">
        <v>23</v>
      </c>
      <c r="D104" s="61">
        <v>5</v>
      </c>
      <c r="E104" s="61">
        <v>31</v>
      </c>
      <c r="F104" s="61">
        <v>26</v>
      </c>
      <c r="G104" s="49">
        <v>35632</v>
      </c>
      <c r="H104" s="64">
        <v>41</v>
      </c>
      <c r="I104" s="64">
        <v>5</v>
      </c>
      <c r="J104" s="61">
        <v>84</v>
      </c>
      <c r="K104" s="61">
        <v>5</v>
      </c>
      <c r="L104" s="51">
        <v>2.0487804879999998</v>
      </c>
      <c r="M104" s="52">
        <v>9.6698113000000002E-2</v>
      </c>
      <c r="N104" s="54">
        <v>0.22535714300000001</v>
      </c>
      <c r="O104" s="52">
        <v>2.2727272999999999E-2</v>
      </c>
      <c r="P104" s="52">
        <v>2.2727272999999999E-2</v>
      </c>
      <c r="Q104" s="132">
        <v>1277.7750008099999</v>
      </c>
    </row>
    <row r="105" spans="2:17" s="128" customFormat="1">
      <c r="B105" s="129">
        <v>42050</v>
      </c>
      <c r="C105" s="60">
        <v>9</v>
      </c>
      <c r="D105" s="61">
        <v>1</v>
      </c>
      <c r="E105" s="61">
        <v>11</v>
      </c>
      <c r="F105" s="61">
        <v>28</v>
      </c>
      <c r="G105" s="49">
        <v>42031</v>
      </c>
      <c r="H105" s="64">
        <v>10</v>
      </c>
      <c r="I105" s="64">
        <v>2</v>
      </c>
      <c r="J105" s="61">
        <v>31</v>
      </c>
      <c r="K105" s="61">
        <v>2</v>
      </c>
      <c r="L105" s="51">
        <v>3.1</v>
      </c>
      <c r="M105" s="52">
        <v>2.5641026000000001E-2</v>
      </c>
      <c r="N105" s="51">
        <v>0.26709677399999998</v>
      </c>
      <c r="O105" s="52">
        <v>0</v>
      </c>
      <c r="P105" s="52">
        <v>0</v>
      </c>
      <c r="Q105" s="132">
        <v>186.29999986499996</v>
      </c>
    </row>
    <row r="106" spans="2:17" s="128" customFormat="1" ht="15.75" thickBot="1">
      <c r="B106" s="129">
        <v>42019</v>
      </c>
      <c r="C106" s="60">
        <v>21</v>
      </c>
      <c r="D106" s="61">
        <v>7</v>
      </c>
      <c r="E106" s="61">
        <v>30</v>
      </c>
      <c r="F106" s="61">
        <v>13</v>
      </c>
      <c r="G106" s="49">
        <v>54499</v>
      </c>
      <c r="H106" s="64">
        <v>8</v>
      </c>
      <c r="I106" s="64">
        <v>7</v>
      </c>
      <c r="J106" s="61">
        <v>37</v>
      </c>
      <c r="K106" s="100">
        <v>7</v>
      </c>
      <c r="L106" s="54">
        <v>4.625</v>
      </c>
      <c r="M106" s="52">
        <v>1.4109347E-2</v>
      </c>
      <c r="N106" s="54">
        <v>0.242432432</v>
      </c>
      <c r="O106" s="52">
        <v>0.17910447800000001</v>
      </c>
      <c r="P106" s="52">
        <v>0.20895522399999999</v>
      </c>
      <c r="Q106" s="132">
        <v>264.614999528</v>
      </c>
    </row>
    <row r="107" spans="2:17" s="128" customFormat="1">
      <c r="B107" s="56" t="s">
        <v>79</v>
      </c>
      <c r="C107" s="57"/>
      <c r="D107" s="58"/>
      <c r="E107" s="58"/>
      <c r="F107" s="58"/>
      <c r="G107" s="59"/>
      <c r="H107" s="58"/>
      <c r="I107" s="58"/>
      <c r="J107" s="58"/>
      <c r="K107" s="58"/>
      <c r="L107" s="58"/>
      <c r="M107" s="58"/>
      <c r="N107" s="58"/>
      <c r="O107" s="58"/>
      <c r="P107" s="58"/>
      <c r="Q107" s="59"/>
    </row>
    <row r="108" spans="2:17" s="128" customFormat="1">
      <c r="B108" s="129">
        <v>42292</v>
      </c>
      <c r="C108" s="60">
        <v>2</v>
      </c>
      <c r="D108" s="61">
        <v>12</v>
      </c>
      <c r="E108" s="61">
        <v>2</v>
      </c>
      <c r="F108" s="61">
        <v>26</v>
      </c>
      <c r="G108" s="49">
        <v>2704</v>
      </c>
      <c r="H108" s="64">
        <v>19</v>
      </c>
      <c r="I108" s="64">
        <v>5</v>
      </c>
      <c r="J108" s="61">
        <v>68</v>
      </c>
      <c r="K108" s="61">
        <v>12</v>
      </c>
      <c r="L108" s="51">
        <v>3.5789473680000001</v>
      </c>
      <c r="M108" s="52">
        <v>0.86363636399999999</v>
      </c>
      <c r="N108" s="51">
        <v>0.29926470599999999</v>
      </c>
      <c r="O108" s="52">
        <v>0</v>
      </c>
      <c r="P108" s="52">
        <v>0</v>
      </c>
      <c r="Q108" s="132">
        <v>1058.200000416</v>
      </c>
    </row>
    <row r="109" spans="2:17" s="128" customFormat="1">
      <c r="B109" s="129">
        <v>42262</v>
      </c>
      <c r="C109" s="60"/>
      <c r="D109" s="61"/>
      <c r="E109" s="61"/>
      <c r="F109" s="61"/>
      <c r="G109" s="49"/>
      <c r="H109" s="64"/>
      <c r="I109" s="64"/>
      <c r="J109" s="61"/>
      <c r="K109" s="61"/>
      <c r="L109" s="51"/>
      <c r="M109" s="52">
        <v>0</v>
      </c>
      <c r="N109" s="51">
        <v>0</v>
      </c>
      <c r="O109" s="52">
        <v>0</v>
      </c>
      <c r="P109" s="52">
        <v>0</v>
      </c>
      <c r="Q109" s="132">
        <v>0</v>
      </c>
    </row>
    <row r="110" spans="2:17" s="128" customFormat="1">
      <c r="B110" s="129">
        <v>42231</v>
      </c>
      <c r="C110" s="60">
        <v>3</v>
      </c>
      <c r="D110" s="61">
        <v>1</v>
      </c>
      <c r="E110" s="61">
        <v>3</v>
      </c>
      <c r="F110" s="61">
        <v>1</v>
      </c>
      <c r="G110" s="49">
        <v>1069</v>
      </c>
      <c r="H110" s="64">
        <v>1</v>
      </c>
      <c r="I110" s="64">
        <v>1</v>
      </c>
      <c r="J110" s="61">
        <v>1</v>
      </c>
      <c r="K110" s="61">
        <v>1</v>
      </c>
      <c r="L110" s="51">
        <v>1</v>
      </c>
      <c r="M110" s="52">
        <v>0.1</v>
      </c>
      <c r="N110" s="51">
        <v>0.33</v>
      </c>
      <c r="O110" s="52">
        <v>0</v>
      </c>
      <c r="P110" s="52">
        <v>0</v>
      </c>
      <c r="Q110" s="132">
        <v>0.66</v>
      </c>
    </row>
    <row r="111" spans="2:17" s="128" customFormat="1">
      <c r="B111" s="129">
        <v>42200</v>
      </c>
      <c r="C111" s="60"/>
      <c r="D111" s="61"/>
      <c r="E111" s="61"/>
      <c r="F111" s="61"/>
      <c r="G111" s="49"/>
      <c r="H111" s="64"/>
      <c r="I111" s="64"/>
      <c r="J111" s="61"/>
      <c r="K111" s="61"/>
      <c r="L111" s="51"/>
      <c r="M111" s="52">
        <v>0</v>
      </c>
      <c r="N111" s="51">
        <v>0</v>
      </c>
      <c r="O111" s="52">
        <v>0</v>
      </c>
      <c r="P111" s="52">
        <v>0</v>
      </c>
      <c r="Q111" s="132">
        <v>0</v>
      </c>
    </row>
    <row r="112" spans="2:17" s="128" customFormat="1">
      <c r="B112" s="129">
        <v>42170</v>
      </c>
      <c r="C112" s="60"/>
      <c r="D112" s="61"/>
      <c r="E112" s="61"/>
      <c r="F112" s="61"/>
      <c r="G112" s="49"/>
      <c r="H112" s="64"/>
      <c r="I112" s="64"/>
      <c r="J112" s="61"/>
      <c r="K112" s="61"/>
      <c r="L112" s="51"/>
      <c r="M112" s="52">
        <v>0</v>
      </c>
      <c r="N112" s="51">
        <v>0</v>
      </c>
      <c r="O112" s="52">
        <v>0</v>
      </c>
      <c r="P112" s="52">
        <v>0</v>
      </c>
      <c r="Q112" s="132">
        <v>0</v>
      </c>
    </row>
    <row r="113" spans="2:20" s="128" customFormat="1">
      <c r="B113" s="129">
        <v>42139</v>
      </c>
      <c r="C113" s="60"/>
      <c r="D113" s="61"/>
      <c r="E113" s="61"/>
      <c r="F113" s="61"/>
      <c r="G113" s="49"/>
      <c r="H113" s="64"/>
      <c r="I113" s="64"/>
      <c r="J113" s="61"/>
      <c r="K113" s="61"/>
      <c r="L113" s="51"/>
      <c r="M113" s="52">
        <v>0</v>
      </c>
      <c r="N113" s="51">
        <v>0</v>
      </c>
      <c r="O113" s="52">
        <v>0</v>
      </c>
      <c r="P113" s="52">
        <v>0</v>
      </c>
      <c r="Q113" s="132">
        <v>0</v>
      </c>
    </row>
    <row r="114" spans="2:20" s="128" customFormat="1">
      <c r="B114" s="129">
        <v>42109</v>
      </c>
      <c r="C114" s="60"/>
      <c r="D114" s="61"/>
      <c r="E114" s="61"/>
      <c r="F114" s="61"/>
      <c r="G114" s="49"/>
      <c r="H114" s="64"/>
      <c r="I114" s="64"/>
      <c r="J114" s="61"/>
      <c r="K114" s="61"/>
      <c r="L114" s="51"/>
      <c r="M114" s="52">
        <v>0</v>
      </c>
      <c r="N114" s="51">
        <v>0</v>
      </c>
      <c r="O114" s="52">
        <v>0</v>
      </c>
      <c r="P114" s="52">
        <v>0</v>
      </c>
      <c r="Q114" s="132">
        <v>0</v>
      </c>
    </row>
    <row r="115" spans="2:20" s="128" customFormat="1">
      <c r="B115" s="129">
        <v>42078</v>
      </c>
      <c r="C115" s="60"/>
      <c r="D115" s="61"/>
      <c r="E115" s="61"/>
      <c r="F115" s="61"/>
      <c r="G115" s="49"/>
      <c r="H115" s="64"/>
      <c r="I115" s="64"/>
      <c r="J115" s="61"/>
      <c r="K115" s="61"/>
      <c r="L115" s="51"/>
      <c r="M115" s="52">
        <v>0</v>
      </c>
      <c r="N115" s="51">
        <v>0</v>
      </c>
      <c r="O115" s="52">
        <v>0</v>
      </c>
      <c r="P115" s="52">
        <v>0</v>
      </c>
      <c r="Q115" s="132">
        <v>0</v>
      </c>
    </row>
    <row r="116" spans="2:20" s="128" customFormat="1">
      <c r="B116" s="129">
        <v>42050</v>
      </c>
      <c r="C116" s="60"/>
      <c r="D116" s="61"/>
      <c r="E116" s="61"/>
      <c r="F116" s="61"/>
      <c r="G116" s="49"/>
      <c r="H116" s="64"/>
      <c r="I116" s="64"/>
      <c r="J116" s="61"/>
      <c r="K116" s="61"/>
      <c r="L116" s="51"/>
      <c r="M116" s="52">
        <v>0</v>
      </c>
      <c r="N116" s="51">
        <v>0</v>
      </c>
      <c r="O116" s="52">
        <v>0</v>
      </c>
      <c r="P116" s="52">
        <v>0</v>
      </c>
      <c r="Q116" s="132">
        <v>0</v>
      </c>
    </row>
    <row r="117" spans="2:20" s="128" customFormat="1" ht="15.75" thickBot="1">
      <c r="B117" s="139">
        <v>42019</v>
      </c>
      <c r="C117" s="68"/>
      <c r="D117" s="67"/>
      <c r="E117" s="67"/>
      <c r="F117" s="67"/>
      <c r="G117" s="92"/>
      <c r="H117" s="66"/>
      <c r="I117" s="66"/>
      <c r="J117" s="67"/>
      <c r="K117" s="67"/>
      <c r="L117" s="55"/>
      <c r="M117" s="93">
        <v>0</v>
      </c>
      <c r="N117" s="55">
        <v>0</v>
      </c>
      <c r="O117" s="93">
        <v>0</v>
      </c>
      <c r="P117" s="93">
        <v>0</v>
      </c>
      <c r="Q117" s="138">
        <v>0</v>
      </c>
    </row>
    <row r="119" spans="2:20">
      <c r="B119" s="118" t="s">
        <v>28</v>
      </c>
      <c r="C119" s="189" t="s">
        <v>29</v>
      </c>
      <c r="D119" s="190"/>
      <c r="E119" s="190"/>
      <c r="F119" s="191"/>
      <c r="G119" s="18"/>
      <c r="H119" s="18"/>
      <c r="I119" s="18"/>
    </row>
    <row r="120" spans="2:20">
      <c r="B120" s="118" t="s">
        <v>30</v>
      </c>
      <c r="C120" s="189" t="s">
        <v>31</v>
      </c>
      <c r="D120" s="190"/>
      <c r="E120" s="190"/>
      <c r="F120" s="191"/>
      <c r="G120" s="18"/>
      <c r="H120" s="18"/>
      <c r="I120" s="18"/>
    </row>
    <row r="122" spans="2:20" ht="15.75" thickBot="1"/>
    <row r="123" spans="2:20" ht="27.75" customHeight="1">
      <c r="B123" s="196" t="s">
        <v>28</v>
      </c>
      <c r="C123" s="203" t="s">
        <v>32</v>
      </c>
      <c r="D123" s="206"/>
      <c r="E123" s="227" t="s">
        <v>33</v>
      </c>
      <c r="F123" s="228"/>
      <c r="G123" s="228"/>
      <c r="H123" s="228"/>
      <c r="I123" s="228"/>
      <c r="J123" s="228"/>
      <c r="K123" s="228"/>
      <c r="L123" s="228"/>
      <c r="M123" s="228"/>
      <c r="N123" s="228"/>
      <c r="O123" s="228"/>
      <c r="P123" s="229"/>
      <c r="Q123" s="230"/>
      <c r="S123" s="17"/>
      <c r="T123" s="17"/>
    </row>
    <row r="124" spans="2:20" ht="27.75" customHeight="1">
      <c r="B124" s="198"/>
      <c r="C124" s="205" t="s">
        <v>5</v>
      </c>
      <c r="D124" s="207"/>
      <c r="E124" s="213" t="s">
        <v>34</v>
      </c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5"/>
      <c r="Q124" s="216"/>
    </row>
    <row r="125" spans="2:20" ht="27.75" customHeight="1">
      <c r="B125" s="198"/>
      <c r="C125" s="205" t="s">
        <v>6</v>
      </c>
      <c r="D125" s="207"/>
      <c r="E125" s="213" t="s">
        <v>35</v>
      </c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5"/>
      <c r="Q125" s="216"/>
    </row>
    <row r="126" spans="2:20" ht="27.75" customHeight="1">
      <c r="B126" s="198"/>
      <c r="C126" s="205" t="s">
        <v>36</v>
      </c>
      <c r="D126" s="207"/>
      <c r="E126" s="213" t="s">
        <v>37</v>
      </c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5"/>
      <c r="Q126" s="216"/>
    </row>
    <row r="127" spans="2:20" ht="27.75" customHeight="1">
      <c r="B127" s="198"/>
      <c r="C127" s="205" t="s">
        <v>38</v>
      </c>
      <c r="D127" s="207"/>
      <c r="E127" s="213" t="s">
        <v>39</v>
      </c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5"/>
      <c r="Q127" s="216"/>
    </row>
    <row r="128" spans="2:20" ht="27.75" customHeight="1" thickBot="1">
      <c r="B128" s="200"/>
      <c r="C128" s="194" t="s">
        <v>9</v>
      </c>
      <c r="D128" s="195"/>
      <c r="E128" s="231" t="s">
        <v>40</v>
      </c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3"/>
      <c r="Q128" s="234"/>
    </row>
    <row r="129" spans="2:20" ht="27.75" customHeight="1">
      <c r="B129" s="196" t="s">
        <v>30</v>
      </c>
      <c r="C129" s="202" t="s">
        <v>10</v>
      </c>
      <c r="D129" s="203"/>
      <c r="E129" s="227" t="s">
        <v>41</v>
      </c>
      <c r="F129" s="228"/>
      <c r="G129" s="228"/>
      <c r="H129" s="228"/>
      <c r="I129" s="228"/>
      <c r="J129" s="228"/>
      <c r="K129" s="228"/>
      <c r="L129" s="228"/>
      <c r="M129" s="228"/>
      <c r="N129" s="228"/>
      <c r="O129" s="228"/>
      <c r="P129" s="229"/>
      <c r="Q129" s="230"/>
    </row>
    <row r="130" spans="2:20" ht="27.75" customHeight="1">
      <c r="B130" s="198"/>
      <c r="C130" s="204" t="s">
        <v>11</v>
      </c>
      <c r="D130" s="205"/>
      <c r="E130" s="213" t="s">
        <v>42</v>
      </c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5"/>
      <c r="Q130" s="216"/>
    </row>
    <row r="131" spans="2:20" ht="27.75" customHeight="1">
      <c r="B131" s="198"/>
      <c r="C131" s="204" t="s">
        <v>12</v>
      </c>
      <c r="D131" s="205"/>
      <c r="E131" s="213" t="s">
        <v>43</v>
      </c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5"/>
      <c r="Q131" s="216"/>
    </row>
    <row r="132" spans="2:20" ht="27.75" customHeight="1">
      <c r="B132" s="198"/>
      <c r="C132" s="204" t="s">
        <v>13</v>
      </c>
      <c r="D132" s="205"/>
      <c r="E132" s="213" t="s">
        <v>44</v>
      </c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5"/>
      <c r="Q132" s="216"/>
    </row>
    <row r="133" spans="2:20" ht="27.75" customHeight="1">
      <c r="B133" s="198"/>
      <c r="C133" s="204" t="s">
        <v>45</v>
      </c>
      <c r="D133" s="205"/>
      <c r="E133" s="213" t="s">
        <v>46</v>
      </c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5"/>
      <c r="Q133" s="216"/>
      <c r="S133" s="17"/>
      <c r="T133" s="17"/>
    </row>
    <row r="134" spans="2:20" ht="27.75" customHeight="1">
      <c r="B134" s="198"/>
      <c r="C134" s="204" t="s">
        <v>47</v>
      </c>
      <c r="D134" s="205"/>
      <c r="E134" s="213" t="s">
        <v>48</v>
      </c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5"/>
      <c r="Q134" s="216"/>
    </row>
    <row r="135" spans="2:20" ht="48" customHeight="1">
      <c r="B135" s="198"/>
      <c r="C135" s="204" t="s">
        <v>15</v>
      </c>
      <c r="D135" s="205"/>
      <c r="E135" s="213" t="s">
        <v>49</v>
      </c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5"/>
      <c r="Q135" s="216"/>
    </row>
    <row r="136" spans="2:20" ht="27.75" customHeight="1" thickBot="1">
      <c r="B136" s="200"/>
      <c r="C136" s="208" t="s">
        <v>16</v>
      </c>
      <c r="D136" s="194"/>
      <c r="E136" s="217" t="s">
        <v>50</v>
      </c>
      <c r="F136" s="218"/>
      <c r="G136" s="218"/>
      <c r="H136" s="218"/>
      <c r="I136" s="218"/>
      <c r="J136" s="218"/>
      <c r="K136" s="218"/>
      <c r="L136" s="218"/>
      <c r="M136" s="218"/>
      <c r="N136" s="218"/>
      <c r="O136" s="218"/>
      <c r="P136" s="219"/>
      <c r="Q136" s="220"/>
    </row>
    <row r="137" spans="2:20"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</row>
    <row r="142" spans="2:20" ht="16.5" customHeight="1"/>
    <row r="146" ht="16.5" customHeight="1"/>
    <row r="173" ht="30" customHeight="1"/>
    <row r="178" spans="2:17" s="19" customFormat="1" ht="27.75" customHeight="1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2:17" s="19" customFormat="1" ht="27.75" customHeight="1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2:17" s="19" customFormat="1" ht="27.75" customHeight="1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2:17" s="19" customFormat="1" ht="27.75" customHeight="1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2:17" s="19" customFormat="1" ht="27.75" customHeight="1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2:17" s="19" customFormat="1" ht="27.75" customHeight="1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2:17" s="19" customFormat="1" ht="27.75" customHeight="1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2:17" s="19" customFormat="1" ht="27.75" customHeight="1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2:17" s="19" customFormat="1" ht="27.75" customHeight="1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2:17" s="19" customFormat="1" ht="27.75" customHeight="1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2:17" s="19" customFormat="1" ht="27.75" customHeight="1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2:17" s="19" customFormat="1" ht="27.75" customHeight="1"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2:17" s="19" customFormat="1" ht="41.25" customHeight="1"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2:17" s="19" customFormat="1" ht="27.75" customHeight="1"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2:17" s="19" customFormat="1" ht="25.5" customHeight="1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</sheetData>
  <mergeCells count="35">
    <mergeCell ref="E135:Q135"/>
    <mergeCell ref="C136:D136"/>
    <mergeCell ref="E136:Q136"/>
    <mergeCell ref="C132:D132"/>
    <mergeCell ref="E132:Q132"/>
    <mergeCell ref="C133:D133"/>
    <mergeCell ref="E133:Q133"/>
    <mergeCell ref="C134:D134"/>
    <mergeCell ref="E134:Q134"/>
    <mergeCell ref="C128:D128"/>
    <mergeCell ref="E128:Q128"/>
    <mergeCell ref="B129:B136"/>
    <mergeCell ref="C129:D129"/>
    <mergeCell ref="E129:Q129"/>
    <mergeCell ref="C130:D130"/>
    <mergeCell ref="E130:Q130"/>
    <mergeCell ref="C131:D131"/>
    <mergeCell ref="E131:Q131"/>
    <mergeCell ref="B123:B128"/>
    <mergeCell ref="C123:D123"/>
    <mergeCell ref="E123:Q123"/>
    <mergeCell ref="C124:D124"/>
    <mergeCell ref="E124:Q124"/>
    <mergeCell ref="C125:D125"/>
    <mergeCell ref="C135:D135"/>
    <mergeCell ref="E125:Q125"/>
    <mergeCell ref="C126:D126"/>
    <mergeCell ref="E126:Q126"/>
    <mergeCell ref="C127:D127"/>
    <mergeCell ref="B2:Q2"/>
    <mergeCell ref="C6:G6"/>
    <mergeCell ref="H6:Q6"/>
    <mergeCell ref="C119:F119"/>
    <mergeCell ref="C120:F120"/>
    <mergeCell ref="E127:Q127"/>
  </mergeCells>
  <pageMargins left="0.511811024" right="0.511811024" top="0.78740157499999996" bottom="0.78740157499999996" header="0.31496062000000002" footer="0.31496062000000002"/>
  <pageSetup paperSize="9" scale="32" orientation="landscape" r:id="rId1"/>
  <colBreaks count="1" manualBreakCount="1">
    <brk id="17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Report Rodrigo</vt:lpstr>
      <vt:lpstr>Report Rodrigo (Final)</vt:lpstr>
      <vt:lpstr>(Monthly)Report Rodrigo</vt:lpstr>
      <vt:lpstr>(Monthly)Report Rodrigo (Final)</vt:lpstr>
      <vt:lpstr>(Yearly)Report</vt:lpstr>
      <vt:lpstr>(Yearly)Report (Final)</vt:lpstr>
      <vt:lpstr>(Monthly)Report2</vt:lpstr>
      <vt:lpstr>(Monthly)Report2 (Final)</vt:lpstr>
      <vt:lpstr>(Monthly)Routes</vt:lpstr>
      <vt:lpstr>(Monthly)Routes (Final)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Nakano</dc:creator>
  <cp:lastModifiedBy>ricardo</cp:lastModifiedBy>
  <cp:lastPrinted>2015-02-06T16:44:23Z</cp:lastPrinted>
  <dcterms:created xsi:type="dcterms:W3CDTF">2015-01-16T18:43:41Z</dcterms:created>
  <dcterms:modified xsi:type="dcterms:W3CDTF">2016-01-19T20:35:50Z</dcterms:modified>
</cp:coreProperties>
</file>